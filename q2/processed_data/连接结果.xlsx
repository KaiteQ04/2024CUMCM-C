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数模\C题\第二问草稿\单季\使用数据\"/>
    </mc:Choice>
  </mc:AlternateContent>
  <xr:revisionPtr revIDLastSave="0" documentId="13_ncr:1_{47DBC0DC-1930-442E-9B7C-7E8220BC72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筛选结果（按照作物类型分类）" sheetId="2" r:id="rId1"/>
    <sheet name="2023销售结果" sheetId="3" r:id="rId2"/>
    <sheet name="销售结果分析" sheetId="4" r:id="rId3"/>
    <sheet name="亩产量汇总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2" i="3"/>
</calcChain>
</file>

<file path=xl/sharedStrings.xml><?xml version="1.0" encoding="utf-8"?>
<sst xmlns="http://schemas.openxmlformats.org/spreadsheetml/2006/main" count="1608" uniqueCount="176">
  <si>
    <t>地块名称</t>
  </si>
  <si>
    <t>地块类型A</t>
  </si>
  <si>
    <t>地块面积/亩</t>
  </si>
  <si>
    <t>作物编号</t>
  </si>
  <si>
    <t>作物名称</t>
  </si>
  <si>
    <t>作物类型</t>
  </si>
  <si>
    <t>种植面积/亩</t>
  </si>
  <si>
    <t>种植季次</t>
  </si>
  <si>
    <t>地块类型B</t>
  </si>
  <si>
    <t>亩产量/斤</t>
  </si>
  <si>
    <t>种植成本/(元/亩)</t>
  </si>
  <si>
    <t>销售单价/(元/斤)</t>
  </si>
  <si>
    <t>A1</t>
  </si>
  <si>
    <t>平旱地</t>
  </si>
  <si>
    <t>小麦</t>
  </si>
  <si>
    <t>粮食</t>
  </si>
  <si>
    <t>单季</t>
  </si>
  <si>
    <t>3.00-4.00</t>
  </si>
  <si>
    <t>梯田</t>
  </si>
  <si>
    <t>山坡地</t>
  </si>
  <si>
    <t>B1</t>
  </si>
  <si>
    <t>B7</t>
  </si>
  <si>
    <t>C5</t>
  </si>
  <si>
    <t>A2</t>
  </si>
  <si>
    <t>玉米</t>
  </si>
  <si>
    <t>2.50-3.50</t>
  </si>
  <si>
    <t>A3</t>
  </si>
  <si>
    <t>B12</t>
  </si>
  <si>
    <t>A4</t>
  </si>
  <si>
    <t>黄豆</t>
  </si>
  <si>
    <t>粮食（豆类）</t>
  </si>
  <si>
    <t>2.50-4.00</t>
  </si>
  <si>
    <t>B11</t>
  </si>
  <si>
    <t>C3</t>
  </si>
  <si>
    <t>A5</t>
  </si>
  <si>
    <t>绿豆</t>
  </si>
  <si>
    <t>6.00-8.00</t>
  </si>
  <si>
    <t>B4</t>
  </si>
  <si>
    <t>A6</t>
  </si>
  <si>
    <t>谷子</t>
  </si>
  <si>
    <t>6.00-7.50</t>
  </si>
  <si>
    <t>B6</t>
  </si>
  <si>
    <t>B8</t>
  </si>
  <si>
    <t>B10</t>
  </si>
  <si>
    <t>黍子</t>
  </si>
  <si>
    <t>6.50-8.50</t>
  </si>
  <si>
    <t>B13</t>
  </si>
  <si>
    <t>莜麦</t>
  </si>
  <si>
    <t>5.00-6.00</t>
  </si>
  <si>
    <t>B14</t>
  </si>
  <si>
    <t>大麦</t>
  </si>
  <si>
    <t>B2</t>
  </si>
  <si>
    <t>黑豆</t>
  </si>
  <si>
    <t>B3</t>
  </si>
  <si>
    <t>红豆</t>
  </si>
  <si>
    <t>7.50-9.00</t>
  </si>
  <si>
    <t>C6</t>
  </si>
  <si>
    <t>B5</t>
  </si>
  <si>
    <t>爬豆</t>
  </si>
  <si>
    <t>B9</t>
  </si>
  <si>
    <t>高粱</t>
  </si>
  <si>
    <t>5.50-6.50</t>
  </si>
  <si>
    <t>C1</t>
  </si>
  <si>
    <t>荞麦</t>
  </si>
  <si>
    <t>30.00-50.00</t>
  </si>
  <si>
    <t>C2</t>
  </si>
  <si>
    <t>南瓜</t>
  </si>
  <si>
    <t>1.00-2.00</t>
  </si>
  <si>
    <t>C4</t>
  </si>
  <si>
    <t>红薯</t>
  </si>
  <si>
    <t>D1</t>
  </si>
  <si>
    <t>水浇地</t>
  </si>
  <si>
    <t>土豆</t>
  </si>
  <si>
    <t xml:space="preserve">蔬菜 </t>
  </si>
  <si>
    <t>第一季</t>
  </si>
  <si>
    <t>3.00-4.50</t>
  </si>
  <si>
    <t xml:space="preserve">普通大棚 </t>
  </si>
  <si>
    <t>智慧大棚</t>
  </si>
  <si>
    <t>第二季</t>
  </si>
  <si>
    <t>白萝卜</t>
  </si>
  <si>
    <t>2.00-3.00</t>
  </si>
  <si>
    <t>D5</t>
  </si>
  <si>
    <t>D2</t>
  </si>
  <si>
    <t>大白菜</t>
  </si>
  <si>
    <t>D3</t>
  </si>
  <si>
    <t>D4</t>
  </si>
  <si>
    <t>小青菜</t>
  </si>
  <si>
    <t>5.00-6.50</t>
  </si>
  <si>
    <t>6.00-7.80</t>
  </si>
  <si>
    <t>E5</t>
  </si>
  <si>
    <t>F3</t>
  </si>
  <si>
    <t>西红柿</t>
  </si>
  <si>
    <t>5.00-7.50</t>
  </si>
  <si>
    <t>6.00-9.00</t>
  </si>
  <si>
    <t>E13</t>
  </si>
  <si>
    <t>F1</t>
  </si>
  <si>
    <t>茄子</t>
  </si>
  <si>
    <t>6.00-7.20</t>
  </si>
  <si>
    <t>E12</t>
  </si>
  <si>
    <t>F2</t>
  </si>
  <si>
    <t>豇豆</t>
  </si>
  <si>
    <t>蔬菜（豆类）</t>
  </si>
  <si>
    <t>7.00-9.00</t>
  </si>
  <si>
    <t>8.40-10.80</t>
  </si>
  <si>
    <t>E10</t>
  </si>
  <si>
    <t>E11</t>
  </si>
  <si>
    <t>D6</t>
  </si>
  <si>
    <t>刀豆</t>
  </si>
  <si>
    <t>5.50-8.00</t>
  </si>
  <si>
    <t>E1</t>
  </si>
  <si>
    <t>E9</t>
  </si>
  <si>
    <t>红萝卜</t>
  </si>
  <si>
    <t>D7</t>
  </si>
  <si>
    <t>水稻</t>
  </si>
  <si>
    <t>D8</t>
  </si>
  <si>
    <t>榆黄菇</t>
  </si>
  <si>
    <t>食用菌</t>
  </si>
  <si>
    <t>50.00-65.00</t>
  </si>
  <si>
    <t>E2</t>
  </si>
  <si>
    <t>E3</t>
  </si>
  <si>
    <t>羊肚菌</t>
  </si>
  <si>
    <t>80.00-120.00</t>
  </si>
  <si>
    <t>E14</t>
  </si>
  <si>
    <t>E15</t>
  </si>
  <si>
    <t>E16</t>
  </si>
  <si>
    <t>黄瓜</t>
  </si>
  <si>
    <t>7.20-9.60</t>
  </si>
  <si>
    <t>油麦菜</t>
  </si>
  <si>
    <t>4.00-6.00</t>
  </si>
  <si>
    <t>E6</t>
  </si>
  <si>
    <t>生菜</t>
  </si>
  <si>
    <t>辣椒</t>
  </si>
  <si>
    <t>6.00-8.50</t>
  </si>
  <si>
    <t>青椒</t>
  </si>
  <si>
    <t>4.00-6.50</t>
  </si>
  <si>
    <t>5.80-7.80</t>
  </si>
  <si>
    <t>菜花</t>
  </si>
  <si>
    <t>E4</t>
  </si>
  <si>
    <t>香菇</t>
  </si>
  <si>
    <t>18.00-20.00</t>
  </si>
  <si>
    <t>包菜</t>
  </si>
  <si>
    <t>5.50-7.50</t>
  </si>
  <si>
    <t>6.60-9.00</t>
  </si>
  <si>
    <t>E7</t>
  </si>
  <si>
    <t>白灵菇</t>
  </si>
  <si>
    <t>14.00-18.00</t>
  </si>
  <si>
    <t>E8</t>
  </si>
  <si>
    <t>芸豆</t>
  </si>
  <si>
    <t>5.00-8.00</t>
  </si>
  <si>
    <t>6.00-9.60</t>
  </si>
  <si>
    <t>F4</t>
  </si>
  <si>
    <t>空心菜</t>
  </si>
  <si>
    <t>3.60-7.20</t>
  </si>
  <si>
    <t>黄心菜</t>
  </si>
  <si>
    <t>4.80-6.00</t>
  </si>
  <si>
    <t xml:space="preserve">生菜 </t>
  </si>
  <si>
    <t>4.50-6.00</t>
  </si>
  <si>
    <t>5.40-7.20</t>
  </si>
  <si>
    <t>芹菜</t>
  </si>
  <si>
    <t>3.80-5.80</t>
  </si>
  <si>
    <t xml:space="preserve">菠菜 </t>
  </si>
  <si>
    <t>5.80-8.00</t>
  </si>
  <si>
    <t>作物编号.1</t>
  </si>
  <si>
    <t>种植季次.1</t>
  </si>
  <si>
    <t>地块类型</t>
  </si>
  <si>
    <t>最小值</t>
  </si>
  <si>
    <t>最大值</t>
  </si>
  <si>
    <t>价格区间</t>
  </si>
  <si>
    <t>总亩产量/斤</t>
  </si>
  <si>
    <t>亩产量/斤</t>
    <phoneticPr fontId="2" type="noConversion"/>
  </si>
  <si>
    <t>种植面积/亩</t>
    <phoneticPr fontId="2" type="noConversion"/>
  </si>
  <si>
    <t>作物产量（销量）</t>
    <phoneticPr fontId="2" type="noConversion"/>
  </si>
  <si>
    <t>实际销售价格</t>
    <phoneticPr fontId="2" type="noConversion"/>
  </si>
  <si>
    <t>种植成本/(元/亩)</t>
    <phoneticPr fontId="2" type="noConversion"/>
  </si>
  <si>
    <t>地块名称</t>
    <phoneticPr fontId="2" type="noConversion"/>
  </si>
  <si>
    <t>种植成本/(元/斤)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</si>
</sst>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0"/>
      <color rgb="FF2C2C36"/>
      <name val="Segoe UI"/>
      <family val="2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5" fillId="0" borderId="0" xfId="0" applyFont="1"/>
    <xf numFmtId="0" fontId="6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8"/>
  <sheetViews>
    <sheetView topLeftCell="G1" zoomScale="70" zoomScaleNormal="70" workbookViewId="0">
      <selection activeCell="AA18" sqref="AA18"/>
    </sheetView>
  </sheetViews>
  <sheetFormatPr defaultRowHeight="14.4" x14ac:dyDescent="0.25"/>
  <cols>
    <col min="6" max="7" width="14.88671875" customWidth="1"/>
    <col min="8" max="8" width="13.21875" customWidth="1"/>
    <col min="9" max="9" width="15.5546875" customWidth="1"/>
    <col min="10" max="10" width="15.21875" customWidth="1"/>
    <col min="11" max="11" width="14.5546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162</v>
      </c>
      <c r="J1" s="1" t="s">
        <v>8</v>
      </c>
      <c r="K1" s="1" t="s">
        <v>163</v>
      </c>
      <c r="L1" s="1" t="s">
        <v>9</v>
      </c>
      <c r="M1" s="1" t="s">
        <v>10</v>
      </c>
      <c r="N1" s="1" t="s">
        <v>11</v>
      </c>
    </row>
    <row r="2" spans="1:14" x14ac:dyDescent="0.25">
      <c r="A2" t="s">
        <v>12</v>
      </c>
      <c r="B2" t="s">
        <v>13</v>
      </c>
      <c r="C2">
        <v>80</v>
      </c>
      <c r="D2">
        <v>6</v>
      </c>
      <c r="E2" t="s">
        <v>14</v>
      </c>
      <c r="F2" t="s">
        <v>15</v>
      </c>
      <c r="G2">
        <v>80</v>
      </c>
      <c r="H2" t="s">
        <v>16</v>
      </c>
      <c r="I2">
        <v>6</v>
      </c>
      <c r="J2" t="s">
        <v>13</v>
      </c>
      <c r="K2" t="s">
        <v>16</v>
      </c>
      <c r="L2">
        <v>800</v>
      </c>
      <c r="M2">
        <v>450</v>
      </c>
      <c r="N2" t="s">
        <v>17</v>
      </c>
    </row>
    <row r="3" spans="1:14" x14ac:dyDescent="0.25">
      <c r="A3" t="s">
        <v>20</v>
      </c>
      <c r="B3" t="s">
        <v>18</v>
      </c>
      <c r="C3">
        <v>60</v>
      </c>
      <c r="D3">
        <v>6</v>
      </c>
      <c r="E3" t="s">
        <v>14</v>
      </c>
      <c r="F3" t="s">
        <v>15</v>
      </c>
      <c r="G3">
        <v>60</v>
      </c>
      <c r="H3" t="s">
        <v>16</v>
      </c>
      <c r="I3">
        <v>6</v>
      </c>
      <c r="J3" t="s">
        <v>18</v>
      </c>
      <c r="K3" t="s">
        <v>16</v>
      </c>
      <c r="L3">
        <v>760</v>
      </c>
      <c r="M3">
        <v>450</v>
      </c>
      <c r="N3" t="s">
        <v>17</v>
      </c>
    </row>
    <row r="4" spans="1:14" x14ac:dyDescent="0.25">
      <c r="A4" t="s">
        <v>21</v>
      </c>
      <c r="B4" t="s">
        <v>18</v>
      </c>
      <c r="C4">
        <v>55</v>
      </c>
      <c r="D4">
        <v>6</v>
      </c>
      <c r="E4" t="s">
        <v>14</v>
      </c>
      <c r="F4" t="s">
        <v>15</v>
      </c>
      <c r="G4">
        <v>55</v>
      </c>
      <c r="H4" t="s">
        <v>16</v>
      </c>
      <c r="I4">
        <v>6</v>
      </c>
      <c r="J4" t="s">
        <v>18</v>
      </c>
      <c r="K4" t="s">
        <v>16</v>
      </c>
      <c r="L4">
        <v>760</v>
      </c>
      <c r="M4">
        <v>450</v>
      </c>
      <c r="N4" t="s">
        <v>17</v>
      </c>
    </row>
    <row r="5" spans="1:14" x14ac:dyDescent="0.25">
      <c r="A5" t="s">
        <v>22</v>
      </c>
      <c r="B5" t="s">
        <v>19</v>
      </c>
      <c r="C5">
        <v>27</v>
      </c>
      <c r="D5">
        <v>6</v>
      </c>
      <c r="E5" t="s">
        <v>14</v>
      </c>
      <c r="F5" t="s">
        <v>15</v>
      </c>
      <c r="G5">
        <v>27</v>
      </c>
      <c r="H5" t="s">
        <v>16</v>
      </c>
      <c r="I5">
        <v>6</v>
      </c>
      <c r="J5" t="s">
        <v>19</v>
      </c>
      <c r="K5" t="s">
        <v>16</v>
      </c>
      <c r="L5">
        <v>720</v>
      </c>
      <c r="M5">
        <v>450</v>
      </c>
      <c r="N5" t="s">
        <v>17</v>
      </c>
    </row>
    <row r="6" spans="1:14" x14ac:dyDescent="0.25">
      <c r="A6" t="s">
        <v>23</v>
      </c>
      <c r="B6" t="s">
        <v>13</v>
      </c>
      <c r="C6">
        <v>55</v>
      </c>
      <c r="D6">
        <v>7</v>
      </c>
      <c r="E6" t="s">
        <v>24</v>
      </c>
      <c r="F6" t="s">
        <v>15</v>
      </c>
      <c r="G6">
        <v>55</v>
      </c>
      <c r="H6" t="s">
        <v>16</v>
      </c>
      <c r="I6">
        <v>7</v>
      </c>
      <c r="J6" t="s">
        <v>13</v>
      </c>
      <c r="K6" t="s">
        <v>16</v>
      </c>
      <c r="L6">
        <v>1000</v>
      </c>
      <c r="M6">
        <v>500</v>
      </c>
      <c r="N6" t="s">
        <v>25</v>
      </c>
    </row>
    <row r="7" spans="1:14" x14ac:dyDescent="0.25">
      <c r="A7" t="s">
        <v>26</v>
      </c>
      <c r="B7" t="s">
        <v>13</v>
      </c>
      <c r="C7">
        <v>35</v>
      </c>
      <c r="D7">
        <v>7</v>
      </c>
      <c r="E7" t="s">
        <v>24</v>
      </c>
      <c r="F7" t="s">
        <v>15</v>
      </c>
      <c r="G7">
        <v>35</v>
      </c>
      <c r="H7" t="s">
        <v>16</v>
      </c>
      <c r="I7">
        <v>7</v>
      </c>
      <c r="J7" t="s">
        <v>13</v>
      </c>
      <c r="K7" t="s">
        <v>16</v>
      </c>
      <c r="L7">
        <v>1000</v>
      </c>
      <c r="M7">
        <v>500</v>
      </c>
      <c r="N7" t="s">
        <v>25</v>
      </c>
    </row>
    <row r="8" spans="1:14" x14ac:dyDescent="0.25">
      <c r="A8" t="s">
        <v>27</v>
      </c>
      <c r="B8" t="s">
        <v>18</v>
      </c>
      <c r="C8">
        <v>45</v>
      </c>
      <c r="D8">
        <v>7</v>
      </c>
      <c r="E8" t="s">
        <v>24</v>
      </c>
      <c r="F8" t="s">
        <v>15</v>
      </c>
      <c r="G8">
        <v>45</v>
      </c>
      <c r="H8" t="s">
        <v>16</v>
      </c>
      <c r="I8">
        <v>7</v>
      </c>
      <c r="J8" t="s">
        <v>18</v>
      </c>
      <c r="K8" t="s">
        <v>16</v>
      </c>
      <c r="L8">
        <v>950</v>
      </c>
      <c r="M8">
        <v>500</v>
      </c>
      <c r="N8" t="s">
        <v>25</v>
      </c>
    </row>
    <row r="9" spans="1:14" x14ac:dyDescent="0.25">
      <c r="A9" t="s">
        <v>28</v>
      </c>
      <c r="B9" t="s">
        <v>13</v>
      </c>
      <c r="C9">
        <v>72</v>
      </c>
      <c r="D9">
        <v>1</v>
      </c>
      <c r="E9" t="s">
        <v>29</v>
      </c>
      <c r="F9" t="s">
        <v>30</v>
      </c>
      <c r="G9">
        <v>72</v>
      </c>
      <c r="H9" t="s">
        <v>16</v>
      </c>
      <c r="I9">
        <v>1</v>
      </c>
      <c r="J9" t="s">
        <v>13</v>
      </c>
      <c r="K9" t="s">
        <v>16</v>
      </c>
      <c r="L9">
        <v>400</v>
      </c>
      <c r="M9">
        <v>400</v>
      </c>
      <c r="N9" t="s">
        <v>31</v>
      </c>
    </row>
    <row r="10" spans="1:14" x14ac:dyDescent="0.25">
      <c r="A10" t="s">
        <v>32</v>
      </c>
      <c r="B10" t="s">
        <v>18</v>
      </c>
      <c r="C10">
        <v>60</v>
      </c>
      <c r="D10">
        <v>1</v>
      </c>
      <c r="E10" t="s">
        <v>29</v>
      </c>
      <c r="F10" t="s">
        <v>30</v>
      </c>
      <c r="G10">
        <v>60</v>
      </c>
      <c r="H10" t="s">
        <v>16</v>
      </c>
      <c r="I10">
        <v>1</v>
      </c>
      <c r="J10" t="s">
        <v>18</v>
      </c>
      <c r="K10" t="s">
        <v>16</v>
      </c>
      <c r="L10">
        <v>380</v>
      </c>
      <c r="M10">
        <v>400</v>
      </c>
      <c r="N10" t="s">
        <v>31</v>
      </c>
    </row>
    <row r="11" spans="1:14" x14ac:dyDescent="0.25">
      <c r="A11" t="s">
        <v>33</v>
      </c>
      <c r="B11" t="s">
        <v>19</v>
      </c>
      <c r="C11">
        <v>15</v>
      </c>
      <c r="D11">
        <v>1</v>
      </c>
      <c r="E11" t="s">
        <v>29</v>
      </c>
      <c r="F11" t="s">
        <v>30</v>
      </c>
      <c r="G11">
        <v>15</v>
      </c>
      <c r="H11" t="s">
        <v>16</v>
      </c>
      <c r="I11">
        <v>1</v>
      </c>
      <c r="J11" t="s">
        <v>19</v>
      </c>
      <c r="K11" t="s">
        <v>16</v>
      </c>
      <c r="L11">
        <v>360</v>
      </c>
      <c r="M11">
        <v>400</v>
      </c>
      <c r="N11" t="s">
        <v>31</v>
      </c>
    </row>
    <row r="12" spans="1:14" x14ac:dyDescent="0.25">
      <c r="A12" t="s">
        <v>34</v>
      </c>
      <c r="B12" t="s">
        <v>13</v>
      </c>
      <c r="C12">
        <v>68</v>
      </c>
      <c r="D12">
        <v>4</v>
      </c>
      <c r="E12" t="s">
        <v>35</v>
      </c>
      <c r="F12" t="s">
        <v>30</v>
      </c>
      <c r="G12">
        <v>68</v>
      </c>
      <c r="H12" t="s">
        <v>16</v>
      </c>
      <c r="I12">
        <v>4</v>
      </c>
      <c r="J12" t="s">
        <v>13</v>
      </c>
      <c r="K12" t="s">
        <v>16</v>
      </c>
      <c r="L12">
        <v>350</v>
      </c>
      <c r="M12">
        <v>350</v>
      </c>
      <c r="N12" t="s">
        <v>36</v>
      </c>
    </row>
    <row r="13" spans="1:14" x14ac:dyDescent="0.25">
      <c r="A13" t="s">
        <v>37</v>
      </c>
      <c r="B13" t="s">
        <v>18</v>
      </c>
      <c r="C13">
        <v>28</v>
      </c>
      <c r="D13">
        <v>4</v>
      </c>
      <c r="E13" t="s">
        <v>35</v>
      </c>
      <c r="F13" t="s">
        <v>30</v>
      </c>
      <c r="G13">
        <v>28</v>
      </c>
      <c r="H13" t="s">
        <v>16</v>
      </c>
      <c r="I13">
        <v>4</v>
      </c>
      <c r="J13" t="s">
        <v>18</v>
      </c>
      <c r="K13" t="s">
        <v>16</v>
      </c>
      <c r="L13">
        <v>330</v>
      </c>
      <c r="M13">
        <v>350</v>
      </c>
      <c r="N13" t="s">
        <v>36</v>
      </c>
    </row>
    <row r="14" spans="1:14" x14ac:dyDescent="0.25">
      <c r="A14" t="s">
        <v>38</v>
      </c>
      <c r="B14" t="s">
        <v>13</v>
      </c>
      <c r="C14">
        <v>55</v>
      </c>
      <c r="D14">
        <v>8</v>
      </c>
      <c r="E14" t="s">
        <v>39</v>
      </c>
      <c r="F14" t="s">
        <v>15</v>
      </c>
      <c r="G14">
        <v>55</v>
      </c>
      <c r="H14" t="s">
        <v>16</v>
      </c>
      <c r="I14">
        <v>8</v>
      </c>
      <c r="J14" t="s">
        <v>13</v>
      </c>
      <c r="K14" t="s">
        <v>16</v>
      </c>
      <c r="L14">
        <v>400</v>
      </c>
      <c r="M14">
        <v>360</v>
      </c>
      <c r="N14" t="s">
        <v>40</v>
      </c>
    </row>
    <row r="15" spans="1:14" x14ac:dyDescent="0.25">
      <c r="A15" t="s">
        <v>41</v>
      </c>
      <c r="B15" t="s">
        <v>18</v>
      </c>
      <c r="C15">
        <v>86</v>
      </c>
      <c r="D15">
        <v>8</v>
      </c>
      <c r="E15" t="s">
        <v>39</v>
      </c>
      <c r="F15" t="s">
        <v>15</v>
      </c>
      <c r="G15">
        <v>86</v>
      </c>
      <c r="H15" t="s">
        <v>16</v>
      </c>
      <c r="I15">
        <v>8</v>
      </c>
      <c r="J15" t="s">
        <v>18</v>
      </c>
      <c r="K15" t="s">
        <v>16</v>
      </c>
      <c r="L15">
        <v>380</v>
      </c>
      <c r="M15">
        <v>360</v>
      </c>
      <c r="N15" t="s">
        <v>40</v>
      </c>
    </row>
    <row r="16" spans="1:14" x14ac:dyDescent="0.25">
      <c r="A16" t="s">
        <v>42</v>
      </c>
      <c r="B16" t="s">
        <v>18</v>
      </c>
      <c r="C16">
        <v>44</v>
      </c>
      <c r="D16">
        <v>8</v>
      </c>
      <c r="E16" t="s">
        <v>39</v>
      </c>
      <c r="F16" t="s">
        <v>15</v>
      </c>
      <c r="G16">
        <v>44</v>
      </c>
      <c r="H16" t="s">
        <v>16</v>
      </c>
      <c r="I16">
        <v>8</v>
      </c>
      <c r="J16" t="s">
        <v>18</v>
      </c>
      <c r="K16" t="s">
        <v>16</v>
      </c>
      <c r="L16">
        <v>380</v>
      </c>
      <c r="M16">
        <v>360</v>
      </c>
      <c r="N16" t="s">
        <v>40</v>
      </c>
    </row>
    <row r="17" spans="1:14" x14ac:dyDescent="0.25">
      <c r="A17" t="s">
        <v>43</v>
      </c>
      <c r="B17" t="s">
        <v>18</v>
      </c>
      <c r="C17">
        <v>25</v>
      </c>
      <c r="D17">
        <v>10</v>
      </c>
      <c r="E17" t="s">
        <v>44</v>
      </c>
      <c r="F17" t="s">
        <v>15</v>
      </c>
      <c r="G17">
        <v>25</v>
      </c>
      <c r="H17" t="s">
        <v>16</v>
      </c>
      <c r="I17">
        <v>10</v>
      </c>
      <c r="J17" t="s">
        <v>18</v>
      </c>
      <c r="K17" t="s">
        <v>16</v>
      </c>
      <c r="L17">
        <v>500</v>
      </c>
      <c r="M17">
        <v>360</v>
      </c>
      <c r="N17" t="s">
        <v>45</v>
      </c>
    </row>
    <row r="18" spans="1:14" x14ac:dyDescent="0.25">
      <c r="A18" t="s">
        <v>46</v>
      </c>
      <c r="B18" t="s">
        <v>18</v>
      </c>
      <c r="C18">
        <v>35</v>
      </c>
      <c r="D18">
        <v>14</v>
      </c>
      <c r="E18" t="s">
        <v>47</v>
      </c>
      <c r="F18" t="s">
        <v>15</v>
      </c>
      <c r="G18">
        <v>35</v>
      </c>
      <c r="H18" t="s">
        <v>16</v>
      </c>
      <c r="I18">
        <v>14</v>
      </c>
      <c r="J18" t="s">
        <v>18</v>
      </c>
      <c r="K18" t="s">
        <v>16</v>
      </c>
      <c r="L18">
        <v>400</v>
      </c>
      <c r="M18">
        <v>400</v>
      </c>
      <c r="N18" t="s">
        <v>48</v>
      </c>
    </row>
    <row r="19" spans="1:14" x14ac:dyDescent="0.25">
      <c r="A19" t="s">
        <v>49</v>
      </c>
      <c r="B19" t="s">
        <v>18</v>
      </c>
      <c r="C19">
        <v>20</v>
      </c>
      <c r="D19">
        <v>15</v>
      </c>
      <c r="E19" t="s">
        <v>50</v>
      </c>
      <c r="F19" t="s">
        <v>15</v>
      </c>
      <c r="G19">
        <v>20</v>
      </c>
      <c r="H19" t="s">
        <v>16</v>
      </c>
      <c r="I19">
        <v>15</v>
      </c>
      <c r="J19" t="s">
        <v>18</v>
      </c>
      <c r="K19" t="s">
        <v>16</v>
      </c>
      <c r="L19">
        <v>500</v>
      </c>
      <c r="M19">
        <v>350</v>
      </c>
      <c r="N19" t="s">
        <v>17</v>
      </c>
    </row>
    <row r="20" spans="1:14" x14ac:dyDescent="0.25">
      <c r="A20" t="s">
        <v>51</v>
      </c>
      <c r="B20" t="s">
        <v>18</v>
      </c>
      <c r="C20">
        <v>46</v>
      </c>
      <c r="D20">
        <v>2</v>
      </c>
      <c r="E20" t="s">
        <v>52</v>
      </c>
      <c r="F20" t="s">
        <v>30</v>
      </c>
      <c r="G20">
        <v>46</v>
      </c>
      <c r="H20" t="s">
        <v>16</v>
      </c>
      <c r="I20">
        <v>2</v>
      </c>
      <c r="J20" t="s">
        <v>18</v>
      </c>
      <c r="K20" t="s">
        <v>16</v>
      </c>
      <c r="L20">
        <v>475</v>
      </c>
      <c r="M20">
        <v>400</v>
      </c>
      <c r="N20" t="s">
        <v>45</v>
      </c>
    </row>
    <row r="21" spans="1:14" x14ac:dyDescent="0.25">
      <c r="A21" t="s">
        <v>53</v>
      </c>
      <c r="B21" t="s">
        <v>18</v>
      </c>
      <c r="C21">
        <v>40</v>
      </c>
      <c r="D21">
        <v>3</v>
      </c>
      <c r="E21" t="s">
        <v>54</v>
      </c>
      <c r="F21" t="s">
        <v>30</v>
      </c>
      <c r="G21">
        <v>40</v>
      </c>
      <c r="H21" t="s">
        <v>16</v>
      </c>
      <c r="I21">
        <v>3</v>
      </c>
      <c r="J21" t="s">
        <v>18</v>
      </c>
      <c r="K21" t="s">
        <v>16</v>
      </c>
      <c r="L21">
        <v>380</v>
      </c>
      <c r="M21">
        <v>350</v>
      </c>
      <c r="N21" t="s">
        <v>55</v>
      </c>
    </row>
    <row r="22" spans="1:14" x14ac:dyDescent="0.25">
      <c r="A22" t="s">
        <v>56</v>
      </c>
      <c r="B22" t="s">
        <v>19</v>
      </c>
      <c r="C22">
        <v>20</v>
      </c>
      <c r="D22">
        <v>3</v>
      </c>
      <c r="E22" t="s">
        <v>54</v>
      </c>
      <c r="F22" t="s">
        <v>30</v>
      </c>
      <c r="G22">
        <v>20</v>
      </c>
      <c r="H22" t="s">
        <v>16</v>
      </c>
      <c r="I22">
        <v>3</v>
      </c>
      <c r="J22" t="s">
        <v>19</v>
      </c>
      <c r="K22" t="s">
        <v>16</v>
      </c>
      <c r="L22">
        <v>360</v>
      </c>
      <c r="M22">
        <v>350</v>
      </c>
      <c r="N22" t="s">
        <v>55</v>
      </c>
    </row>
    <row r="23" spans="1:14" x14ac:dyDescent="0.25">
      <c r="A23" t="s">
        <v>57</v>
      </c>
      <c r="B23" t="s">
        <v>18</v>
      </c>
      <c r="C23">
        <v>25</v>
      </c>
      <c r="D23">
        <v>5</v>
      </c>
      <c r="E23" t="s">
        <v>58</v>
      </c>
      <c r="F23" t="s">
        <v>30</v>
      </c>
      <c r="G23">
        <v>25</v>
      </c>
      <c r="H23" t="s">
        <v>16</v>
      </c>
      <c r="I23">
        <v>5</v>
      </c>
      <c r="J23" t="s">
        <v>18</v>
      </c>
      <c r="K23" t="s">
        <v>16</v>
      </c>
      <c r="L23">
        <v>395</v>
      </c>
      <c r="M23">
        <v>350</v>
      </c>
      <c r="N23" t="s">
        <v>40</v>
      </c>
    </row>
    <row r="24" spans="1:14" x14ac:dyDescent="0.25">
      <c r="A24" t="s">
        <v>59</v>
      </c>
      <c r="B24" t="s">
        <v>18</v>
      </c>
      <c r="C24">
        <v>50</v>
      </c>
      <c r="D24">
        <v>9</v>
      </c>
      <c r="E24" t="s">
        <v>60</v>
      </c>
      <c r="F24" t="s">
        <v>15</v>
      </c>
      <c r="G24">
        <v>50</v>
      </c>
      <c r="H24" t="s">
        <v>16</v>
      </c>
      <c r="I24">
        <v>9</v>
      </c>
      <c r="J24" t="s">
        <v>18</v>
      </c>
      <c r="K24" t="s">
        <v>16</v>
      </c>
      <c r="L24">
        <v>600</v>
      </c>
      <c r="M24">
        <v>400</v>
      </c>
      <c r="N24" t="s">
        <v>61</v>
      </c>
    </row>
    <row r="25" spans="1:14" x14ac:dyDescent="0.25">
      <c r="A25" t="s">
        <v>62</v>
      </c>
      <c r="B25" t="s">
        <v>19</v>
      </c>
      <c r="C25">
        <v>15</v>
      </c>
      <c r="D25">
        <v>11</v>
      </c>
      <c r="E25" t="s">
        <v>63</v>
      </c>
      <c r="F25" t="s">
        <v>15</v>
      </c>
      <c r="G25">
        <v>15</v>
      </c>
      <c r="H25" t="s">
        <v>16</v>
      </c>
      <c r="I25">
        <v>11</v>
      </c>
      <c r="J25" t="s">
        <v>19</v>
      </c>
      <c r="K25" t="s">
        <v>16</v>
      </c>
      <c r="L25">
        <v>100</v>
      </c>
      <c r="M25">
        <v>350</v>
      </c>
      <c r="N25" t="s">
        <v>64</v>
      </c>
    </row>
    <row r="26" spans="1:14" x14ac:dyDescent="0.25">
      <c r="A26" t="s">
        <v>65</v>
      </c>
      <c r="B26" t="s">
        <v>19</v>
      </c>
      <c r="C26">
        <v>13</v>
      </c>
      <c r="D26">
        <v>12</v>
      </c>
      <c r="E26" t="s">
        <v>66</v>
      </c>
      <c r="F26" t="s">
        <v>15</v>
      </c>
      <c r="G26">
        <v>13</v>
      </c>
      <c r="H26" t="s">
        <v>16</v>
      </c>
      <c r="I26">
        <v>12</v>
      </c>
      <c r="J26" t="s">
        <v>19</v>
      </c>
      <c r="K26" t="s">
        <v>16</v>
      </c>
      <c r="L26">
        <v>2700</v>
      </c>
      <c r="M26">
        <v>1000</v>
      </c>
      <c r="N26" t="s">
        <v>67</v>
      </c>
    </row>
    <row r="27" spans="1:14" x14ac:dyDescent="0.25">
      <c r="A27" t="s">
        <v>68</v>
      </c>
      <c r="B27" t="s">
        <v>19</v>
      </c>
      <c r="C27">
        <v>18</v>
      </c>
      <c r="D27">
        <v>13</v>
      </c>
      <c r="E27" t="s">
        <v>69</v>
      </c>
      <c r="F27" t="s">
        <v>15</v>
      </c>
      <c r="G27">
        <v>18</v>
      </c>
      <c r="H27" t="s">
        <v>16</v>
      </c>
      <c r="I27">
        <v>13</v>
      </c>
      <c r="J27" t="s">
        <v>19</v>
      </c>
      <c r="K27" t="s">
        <v>16</v>
      </c>
      <c r="L27">
        <v>2000</v>
      </c>
      <c r="M27">
        <v>2000</v>
      </c>
      <c r="N27" t="s">
        <v>31</v>
      </c>
    </row>
    <row r="28" spans="1:14" x14ac:dyDescent="0.25">
      <c r="A28" t="s">
        <v>70</v>
      </c>
      <c r="B28" t="s">
        <v>71</v>
      </c>
      <c r="C28">
        <v>15</v>
      </c>
      <c r="D28">
        <v>20</v>
      </c>
      <c r="E28" t="s">
        <v>72</v>
      </c>
      <c r="F28" t="s">
        <v>73</v>
      </c>
      <c r="G28">
        <v>15</v>
      </c>
      <c r="H28" t="s">
        <v>74</v>
      </c>
      <c r="I28">
        <v>20</v>
      </c>
      <c r="J28" t="s">
        <v>71</v>
      </c>
      <c r="K28" t="s">
        <v>74</v>
      </c>
      <c r="L28">
        <v>2000</v>
      </c>
      <c r="M28">
        <v>2000</v>
      </c>
      <c r="N28" t="s">
        <v>75</v>
      </c>
    </row>
    <row r="29" spans="1:14" x14ac:dyDescent="0.25">
      <c r="A29" t="s">
        <v>70</v>
      </c>
      <c r="B29" t="s">
        <v>71</v>
      </c>
      <c r="C29">
        <v>15</v>
      </c>
      <c r="D29">
        <v>36</v>
      </c>
      <c r="E29" t="s">
        <v>79</v>
      </c>
      <c r="F29" t="s">
        <v>73</v>
      </c>
      <c r="G29">
        <v>15</v>
      </c>
      <c r="H29" t="s">
        <v>78</v>
      </c>
      <c r="I29">
        <v>36</v>
      </c>
      <c r="J29" t="s">
        <v>71</v>
      </c>
      <c r="K29" t="s">
        <v>78</v>
      </c>
      <c r="L29">
        <v>4000</v>
      </c>
      <c r="M29">
        <v>500</v>
      </c>
      <c r="N29" t="s">
        <v>80</v>
      </c>
    </row>
    <row r="30" spans="1:14" x14ac:dyDescent="0.25">
      <c r="A30" t="s">
        <v>81</v>
      </c>
      <c r="B30" t="s">
        <v>71</v>
      </c>
      <c r="C30">
        <v>10</v>
      </c>
      <c r="D30">
        <v>36</v>
      </c>
      <c r="E30" t="s">
        <v>79</v>
      </c>
      <c r="F30" t="s">
        <v>73</v>
      </c>
      <c r="G30">
        <v>10</v>
      </c>
      <c r="H30" t="s">
        <v>78</v>
      </c>
      <c r="I30">
        <v>36</v>
      </c>
      <c r="J30" t="s">
        <v>71</v>
      </c>
      <c r="K30" t="s">
        <v>78</v>
      </c>
      <c r="L30">
        <v>4000</v>
      </c>
      <c r="M30">
        <v>500</v>
      </c>
      <c r="N30" t="s">
        <v>80</v>
      </c>
    </row>
    <row r="31" spans="1:14" x14ac:dyDescent="0.25">
      <c r="A31" t="s">
        <v>82</v>
      </c>
      <c r="B31" t="s">
        <v>71</v>
      </c>
      <c r="C31">
        <v>10</v>
      </c>
      <c r="D31">
        <v>35</v>
      </c>
      <c r="E31" t="s">
        <v>83</v>
      </c>
      <c r="F31" t="s">
        <v>73</v>
      </c>
      <c r="G31">
        <v>10</v>
      </c>
      <c r="H31" t="s">
        <v>78</v>
      </c>
      <c r="I31">
        <v>35</v>
      </c>
      <c r="J31" t="s">
        <v>71</v>
      </c>
      <c r="K31" t="s">
        <v>78</v>
      </c>
      <c r="L31">
        <v>5000</v>
      </c>
      <c r="M31">
        <v>2000</v>
      </c>
      <c r="N31" t="s">
        <v>80</v>
      </c>
    </row>
    <row r="32" spans="1:14" x14ac:dyDescent="0.25">
      <c r="A32" t="s">
        <v>84</v>
      </c>
      <c r="B32" t="s">
        <v>71</v>
      </c>
      <c r="C32">
        <v>14</v>
      </c>
      <c r="D32">
        <v>35</v>
      </c>
      <c r="E32" t="s">
        <v>83</v>
      </c>
      <c r="F32" t="s">
        <v>73</v>
      </c>
      <c r="G32">
        <v>14</v>
      </c>
      <c r="H32" t="s">
        <v>78</v>
      </c>
      <c r="I32">
        <v>35</v>
      </c>
      <c r="J32" t="s">
        <v>71</v>
      </c>
      <c r="K32" t="s">
        <v>78</v>
      </c>
      <c r="L32">
        <v>5000</v>
      </c>
      <c r="M32">
        <v>2000</v>
      </c>
      <c r="N32" t="s">
        <v>80</v>
      </c>
    </row>
    <row r="33" spans="1:14" x14ac:dyDescent="0.25">
      <c r="A33" t="s">
        <v>85</v>
      </c>
      <c r="B33" t="s">
        <v>71</v>
      </c>
      <c r="C33">
        <v>6</v>
      </c>
      <c r="D33">
        <v>35</v>
      </c>
      <c r="E33" t="s">
        <v>83</v>
      </c>
      <c r="F33" t="s">
        <v>73</v>
      </c>
      <c r="G33">
        <v>6</v>
      </c>
      <c r="H33" t="s">
        <v>78</v>
      </c>
      <c r="I33">
        <v>35</v>
      </c>
      <c r="J33" t="s">
        <v>71</v>
      </c>
      <c r="K33" t="s">
        <v>78</v>
      </c>
      <c r="L33">
        <v>5000</v>
      </c>
      <c r="M33">
        <v>2000</v>
      </c>
      <c r="N33" t="s">
        <v>80</v>
      </c>
    </row>
    <row r="34" spans="1:14" x14ac:dyDescent="0.25">
      <c r="A34" t="s">
        <v>82</v>
      </c>
      <c r="B34" t="s">
        <v>71</v>
      </c>
      <c r="C34">
        <v>10</v>
      </c>
      <c r="D34">
        <v>28</v>
      </c>
      <c r="E34" t="s">
        <v>86</v>
      </c>
      <c r="F34" t="s">
        <v>73</v>
      </c>
      <c r="G34">
        <v>10</v>
      </c>
      <c r="H34" t="s">
        <v>74</v>
      </c>
      <c r="I34">
        <v>28</v>
      </c>
      <c r="J34" t="s">
        <v>71</v>
      </c>
      <c r="K34" t="s">
        <v>74</v>
      </c>
      <c r="L34">
        <v>3200</v>
      </c>
      <c r="M34">
        <v>1600</v>
      </c>
      <c r="N34" t="s">
        <v>87</v>
      </c>
    </row>
    <row r="35" spans="1:14" x14ac:dyDescent="0.25">
      <c r="A35" t="s">
        <v>89</v>
      </c>
      <c r="B35" t="s">
        <v>76</v>
      </c>
      <c r="C35">
        <v>0.6</v>
      </c>
      <c r="D35">
        <v>28</v>
      </c>
      <c r="E35" t="s">
        <v>86</v>
      </c>
      <c r="F35" t="s">
        <v>73</v>
      </c>
      <c r="G35">
        <v>0.6</v>
      </c>
      <c r="H35" t="s">
        <v>74</v>
      </c>
      <c r="I35">
        <v>28</v>
      </c>
      <c r="J35" t="s">
        <v>76</v>
      </c>
      <c r="K35" t="s">
        <v>74</v>
      </c>
      <c r="L35">
        <v>4000</v>
      </c>
      <c r="M35">
        <v>2000</v>
      </c>
      <c r="N35" t="s">
        <v>87</v>
      </c>
    </row>
    <row r="36" spans="1:14" x14ac:dyDescent="0.25">
      <c r="A36" t="s">
        <v>90</v>
      </c>
      <c r="B36" t="s">
        <v>77</v>
      </c>
      <c r="C36">
        <v>0.6</v>
      </c>
      <c r="D36">
        <v>28</v>
      </c>
      <c r="E36" t="s">
        <v>86</v>
      </c>
      <c r="F36" t="s">
        <v>73</v>
      </c>
      <c r="G36">
        <v>0.3</v>
      </c>
      <c r="H36" t="s">
        <v>78</v>
      </c>
      <c r="I36">
        <v>28</v>
      </c>
      <c r="J36" t="s">
        <v>77</v>
      </c>
      <c r="K36" t="s">
        <v>78</v>
      </c>
      <c r="L36">
        <v>3600</v>
      </c>
      <c r="M36">
        <v>2200</v>
      </c>
      <c r="N36" t="s">
        <v>88</v>
      </c>
    </row>
    <row r="37" spans="1:14" x14ac:dyDescent="0.25">
      <c r="A37" t="s">
        <v>84</v>
      </c>
      <c r="B37" t="s">
        <v>71</v>
      </c>
      <c r="C37">
        <v>14</v>
      </c>
      <c r="D37">
        <v>21</v>
      </c>
      <c r="E37" t="s">
        <v>91</v>
      </c>
      <c r="F37" t="s">
        <v>73</v>
      </c>
      <c r="G37">
        <v>14</v>
      </c>
      <c r="H37" t="s">
        <v>74</v>
      </c>
      <c r="I37">
        <v>21</v>
      </c>
      <c r="J37" t="s">
        <v>71</v>
      </c>
      <c r="K37" t="s">
        <v>74</v>
      </c>
      <c r="L37">
        <v>2400</v>
      </c>
      <c r="M37">
        <v>2000</v>
      </c>
      <c r="N37" t="s">
        <v>92</v>
      </c>
    </row>
    <row r="38" spans="1:14" x14ac:dyDescent="0.25">
      <c r="A38" t="s">
        <v>94</v>
      </c>
      <c r="B38" t="s">
        <v>76</v>
      </c>
      <c r="C38">
        <v>0.6</v>
      </c>
      <c r="D38">
        <v>21</v>
      </c>
      <c r="E38" t="s">
        <v>91</v>
      </c>
      <c r="F38" t="s">
        <v>73</v>
      </c>
      <c r="G38">
        <v>0.6</v>
      </c>
      <c r="H38" t="s">
        <v>74</v>
      </c>
      <c r="I38">
        <v>21</v>
      </c>
      <c r="J38" t="s">
        <v>76</v>
      </c>
      <c r="K38" t="s">
        <v>74</v>
      </c>
      <c r="L38">
        <v>3000</v>
      </c>
      <c r="M38">
        <v>2400</v>
      </c>
      <c r="N38" t="s">
        <v>92</v>
      </c>
    </row>
    <row r="39" spans="1:14" x14ac:dyDescent="0.25">
      <c r="A39" t="s">
        <v>95</v>
      </c>
      <c r="B39" t="s">
        <v>77</v>
      </c>
      <c r="C39">
        <v>0.6</v>
      </c>
      <c r="D39">
        <v>21</v>
      </c>
      <c r="E39" t="s">
        <v>91</v>
      </c>
      <c r="F39" t="s">
        <v>73</v>
      </c>
      <c r="G39">
        <v>0.3</v>
      </c>
      <c r="H39" t="s">
        <v>78</v>
      </c>
      <c r="I39">
        <v>21</v>
      </c>
      <c r="J39" t="s">
        <v>77</v>
      </c>
      <c r="K39" t="s">
        <v>78</v>
      </c>
      <c r="L39">
        <v>2700</v>
      </c>
      <c r="M39">
        <v>2640</v>
      </c>
      <c r="N39" t="s">
        <v>93</v>
      </c>
    </row>
    <row r="40" spans="1:14" x14ac:dyDescent="0.25">
      <c r="A40" t="s">
        <v>85</v>
      </c>
      <c r="B40" t="s">
        <v>71</v>
      </c>
      <c r="C40">
        <v>6</v>
      </c>
      <c r="D40">
        <v>22</v>
      </c>
      <c r="E40" t="s">
        <v>96</v>
      </c>
      <c r="F40" t="s">
        <v>73</v>
      </c>
      <c r="G40">
        <v>6</v>
      </c>
      <c r="H40" t="s">
        <v>74</v>
      </c>
      <c r="I40">
        <v>22</v>
      </c>
      <c r="J40" t="s">
        <v>71</v>
      </c>
      <c r="K40" t="s">
        <v>74</v>
      </c>
      <c r="L40">
        <v>6400</v>
      </c>
      <c r="M40">
        <v>2000</v>
      </c>
      <c r="N40" t="s">
        <v>48</v>
      </c>
    </row>
    <row r="41" spans="1:14" x14ac:dyDescent="0.25">
      <c r="A41" t="s">
        <v>98</v>
      </c>
      <c r="B41" t="s">
        <v>76</v>
      </c>
      <c r="C41">
        <v>0.6</v>
      </c>
      <c r="D41">
        <v>22</v>
      </c>
      <c r="E41" t="s">
        <v>96</v>
      </c>
      <c r="F41" t="s">
        <v>73</v>
      </c>
      <c r="G41">
        <v>0.6</v>
      </c>
      <c r="H41" t="s">
        <v>74</v>
      </c>
      <c r="I41">
        <v>22</v>
      </c>
      <c r="J41" t="s">
        <v>76</v>
      </c>
      <c r="K41" t="s">
        <v>74</v>
      </c>
      <c r="L41">
        <v>8000</v>
      </c>
      <c r="M41">
        <v>2400</v>
      </c>
      <c r="N41" t="s">
        <v>48</v>
      </c>
    </row>
    <row r="42" spans="1:14" x14ac:dyDescent="0.25">
      <c r="A42" t="s">
        <v>99</v>
      </c>
      <c r="B42" t="s">
        <v>77</v>
      </c>
      <c r="C42">
        <v>0.6</v>
      </c>
      <c r="D42">
        <v>22</v>
      </c>
      <c r="E42" t="s">
        <v>96</v>
      </c>
      <c r="F42" t="s">
        <v>73</v>
      </c>
      <c r="G42">
        <v>0.3</v>
      </c>
      <c r="H42" t="s">
        <v>78</v>
      </c>
      <c r="I42">
        <v>22</v>
      </c>
      <c r="J42" t="s">
        <v>77</v>
      </c>
      <c r="K42" t="s">
        <v>78</v>
      </c>
      <c r="L42">
        <v>7200</v>
      </c>
      <c r="M42">
        <v>2640</v>
      </c>
      <c r="N42" t="s">
        <v>97</v>
      </c>
    </row>
    <row r="43" spans="1:14" x14ac:dyDescent="0.25">
      <c r="A43" t="s">
        <v>81</v>
      </c>
      <c r="B43" t="s">
        <v>71</v>
      </c>
      <c r="C43">
        <v>10</v>
      </c>
      <c r="D43">
        <v>17</v>
      </c>
      <c r="E43" t="s">
        <v>100</v>
      </c>
      <c r="F43" t="s">
        <v>101</v>
      </c>
      <c r="G43">
        <v>10</v>
      </c>
      <c r="H43" t="s">
        <v>74</v>
      </c>
      <c r="I43">
        <v>17</v>
      </c>
      <c r="J43" t="s">
        <v>71</v>
      </c>
      <c r="K43" t="s">
        <v>74</v>
      </c>
      <c r="L43">
        <v>3000</v>
      </c>
      <c r="M43">
        <v>2000</v>
      </c>
      <c r="N43" t="s">
        <v>102</v>
      </c>
    </row>
    <row r="44" spans="1:14" x14ac:dyDescent="0.25">
      <c r="A44" t="s">
        <v>104</v>
      </c>
      <c r="B44" t="s">
        <v>76</v>
      </c>
      <c r="C44">
        <v>0.6</v>
      </c>
      <c r="D44">
        <v>17</v>
      </c>
      <c r="E44" t="s">
        <v>100</v>
      </c>
      <c r="F44" t="s">
        <v>101</v>
      </c>
      <c r="G44">
        <v>0.6</v>
      </c>
      <c r="H44" t="s">
        <v>74</v>
      </c>
      <c r="I44">
        <v>17</v>
      </c>
      <c r="J44" t="s">
        <v>76</v>
      </c>
      <c r="K44" t="s">
        <v>74</v>
      </c>
      <c r="L44">
        <v>3600</v>
      </c>
      <c r="M44">
        <v>2400</v>
      </c>
      <c r="N44" t="s">
        <v>102</v>
      </c>
    </row>
    <row r="45" spans="1:14" x14ac:dyDescent="0.25">
      <c r="A45" t="s">
        <v>105</v>
      </c>
      <c r="B45" t="s">
        <v>76</v>
      </c>
      <c r="C45">
        <v>0.6</v>
      </c>
      <c r="D45">
        <v>17</v>
      </c>
      <c r="E45" t="s">
        <v>100</v>
      </c>
      <c r="F45" t="s">
        <v>101</v>
      </c>
      <c r="G45">
        <v>0.6</v>
      </c>
      <c r="H45" t="s">
        <v>74</v>
      </c>
      <c r="I45">
        <v>17</v>
      </c>
      <c r="J45" t="s">
        <v>76</v>
      </c>
      <c r="K45" t="s">
        <v>74</v>
      </c>
      <c r="L45">
        <v>3600</v>
      </c>
      <c r="M45">
        <v>2400</v>
      </c>
      <c r="N45" t="s">
        <v>102</v>
      </c>
    </row>
    <row r="46" spans="1:14" x14ac:dyDescent="0.25">
      <c r="A46" t="s">
        <v>90</v>
      </c>
      <c r="B46" t="s">
        <v>77</v>
      </c>
      <c r="C46">
        <v>0.6</v>
      </c>
      <c r="D46">
        <v>17</v>
      </c>
      <c r="E46" t="s">
        <v>100</v>
      </c>
      <c r="F46" t="s">
        <v>101</v>
      </c>
      <c r="G46">
        <v>0.6</v>
      </c>
      <c r="H46" t="s">
        <v>74</v>
      </c>
      <c r="I46">
        <v>17</v>
      </c>
      <c r="J46" t="s">
        <v>77</v>
      </c>
      <c r="K46" t="s">
        <v>78</v>
      </c>
      <c r="L46">
        <v>3200</v>
      </c>
      <c r="M46">
        <v>2640</v>
      </c>
      <c r="N46" t="s">
        <v>103</v>
      </c>
    </row>
    <row r="47" spans="1:14" x14ac:dyDescent="0.25">
      <c r="A47" t="s">
        <v>106</v>
      </c>
      <c r="B47" t="s">
        <v>71</v>
      </c>
      <c r="C47">
        <v>12</v>
      </c>
      <c r="D47">
        <v>18</v>
      </c>
      <c r="E47" t="s">
        <v>107</v>
      </c>
      <c r="F47" t="s">
        <v>101</v>
      </c>
      <c r="G47">
        <v>12</v>
      </c>
      <c r="H47" t="s">
        <v>74</v>
      </c>
      <c r="I47">
        <v>18</v>
      </c>
      <c r="J47" t="s">
        <v>71</v>
      </c>
      <c r="K47" t="s">
        <v>74</v>
      </c>
      <c r="L47">
        <v>2000</v>
      </c>
      <c r="M47">
        <v>1000</v>
      </c>
      <c r="N47" t="s">
        <v>108</v>
      </c>
    </row>
    <row r="48" spans="1:14" x14ac:dyDescent="0.25">
      <c r="A48" t="s">
        <v>109</v>
      </c>
      <c r="B48" t="s">
        <v>76</v>
      </c>
      <c r="C48">
        <v>0.6</v>
      </c>
      <c r="D48">
        <v>18</v>
      </c>
      <c r="E48" t="s">
        <v>107</v>
      </c>
      <c r="F48" t="s">
        <v>101</v>
      </c>
      <c r="G48">
        <v>0.6</v>
      </c>
      <c r="H48" t="s">
        <v>74</v>
      </c>
      <c r="I48">
        <v>18</v>
      </c>
      <c r="J48" t="s">
        <v>76</v>
      </c>
      <c r="K48" t="s">
        <v>74</v>
      </c>
      <c r="L48">
        <v>2400</v>
      </c>
      <c r="M48">
        <v>1200</v>
      </c>
      <c r="N48" t="s">
        <v>108</v>
      </c>
    </row>
    <row r="49" spans="1:14" x14ac:dyDescent="0.25">
      <c r="A49" t="s">
        <v>110</v>
      </c>
      <c r="B49" t="s">
        <v>76</v>
      </c>
      <c r="C49">
        <v>0.6</v>
      </c>
      <c r="D49">
        <v>18</v>
      </c>
      <c r="E49" t="s">
        <v>107</v>
      </c>
      <c r="F49" t="s">
        <v>101</v>
      </c>
      <c r="G49">
        <v>0.6</v>
      </c>
      <c r="H49" t="s">
        <v>74</v>
      </c>
      <c r="I49">
        <v>18</v>
      </c>
      <c r="J49" t="s">
        <v>76</v>
      </c>
      <c r="K49" t="s">
        <v>74</v>
      </c>
      <c r="L49">
        <v>2400</v>
      </c>
      <c r="M49">
        <v>1200</v>
      </c>
      <c r="N49" t="s">
        <v>108</v>
      </c>
    </row>
    <row r="50" spans="1:14" x14ac:dyDescent="0.25">
      <c r="A50" t="s">
        <v>106</v>
      </c>
      <c r="B50" t="s">
        <v>71</v>
      </c>
      <c r="C50">
        <v>12</v>
      </c>
      <c r="D50">
        <v>37</v>
      </c>
      <c r="E50" t="s">
        <v>111</v>
      </c>
      <c r="F50" t="s">
        <v>73</v>
      </c>
      <c r="G50">
        <v>12</v>
      </c>
      <c r="H50" t="s">
        <v>78</v>
      </c>
      <c r="I50">
        <v>37</v>
      </c>
      <c r="J50" t="s">
        <v>71</v>
      </c>
      <c r="K50" t="s">
        <v>78</v>
      </c>
      <c r="L50">
        <v>3000</v>
      </c>
      <c r="M50">
        <v>500</v>
      </c>
      <c r="N50" t="s">
        <v>31</v>
      </c>
    </row>
    <row r="51" spans="1:14" x14ac:dyDescent="0.25">
      <c r="A51" t="s">
        <v>112</v>
      </c>
      <c r="B51" t="s">
        <v>71</v>
      </c>
      <c r="C51">
        <v>22</v>
      </c>
      <c r="D51">
        <v>16</v>
      </c>
      <c r="E51" t="s">
        <v>113</v>
      </c>
      <c r="F51" t="s">
        <v>15</v>
      </c>
      <c r="G51">
        <v>22</v>
      </c>
      <c r="H51" t="s">
        <v>16</v>
      </c>
      <c r="I51">
        <v>16</v>
      </c>
      <c r="J51" t="s">
        <v>71</v>
      </c>
      <c r="K51" t="s">
        <v>16</v>
      </c>
      <c r="L51">
        <v>500</v>
      </c>
      <c r="M51">
        <v>680</v>
      </c>
      <c r="N51" t="s">
        <v>36</v>
      </c>
    </row>
    <row r="52" spans="1:14" x14ac:dyDescent="0.25">
      <c r="A52" t="s">
        <v>114</v>
      </c>
      <c r="B52" t="s">
        <v>71</v>
      </c>
      <c r="C52">
        <v>20</v>
      </c>
      <c r="D52">
        <v>16</v>
      </c>
      <c r="E52" t="s">
        <v>113</v>
      </c>
      <c r="F52" t="s">
        <v>15</v>
      </c>
      <c r="G52">
        <v>20</v>
      </c>
      <c r="H52" t="s">
        <v>16</v>
      </c>
      <c r="I52">
        <v>16</v>
      </c>
      <c r="J52" t="s">
        <v>71</v>
      </c>
      <c r="K52" t="s">
        <v>16</v>
      </c>
      <c r="L52">
        <v>500</v>
      </c>
      <c r="M52">
        <v>680</v>
      </c>
      <c r="N52" t="s">
        <v>36</v>
      </c>
    </row>
    <row r="53" spans="1:14" x14ac:dyDescent="0.25">
      <c r="A53" t="s">
        <v>109</v>
      </c>
      <c r="B53" t="s">
        <v>76</v>
      </c>
      <c r="C53">
        <v>0.6</v>
      </c>
      <c r="D53">
        <v>38</v>
      </c>
      <c r="E53" t="s">
        <v>115</v>
      </c>
      <c r="F53" t="s">
        <v>116</v>
      </c>
      <c r="G53">
        <v>0.6</v>
      </c>
      <c r="H53" t="s">
        <v>78</v>
      </c>
      <c r="I53">
        <v>38</v>
      </c>
      <c r="J53" t="s">
        <v>76</v>
      </c>
      <c r="K53" t="s">
        <v>78</v>
      </c>
      <c r="L53">
        <v>5000</v>
      </c>
      <c r="M53">
        <v>3000</v>
      </c>
      <c r="N53" t="s">
        <v>117</v>
      </c>
    </row>
    <row r="54" spans="1:14" x14ac:dyDescent="0.25">
      <c r="A54" t="s">
        <v>118</v>
      </c>
      <c r="B54" t="s">
        <v>76</v>
      </c>
      <c r="C54">
        <v>0.6</v>
      </c>
      <c r="D54">
        <v>38</v>
      </c>
      <c r="E54" t="s">
        <v>115</v>
      </c>
      <c r="F54" t="s">
        <v>116</v>
      </c>
      <c r="G54">
        <v>0.6</v>
      </c>
      <c r="H54" t="s">
        <v>78</v>
      </c>
      <c r="I54">
        <v>38</v>
      </c>
      <c r="J54" t="s">
        <v>76</v>
      </c>
      <c r="K54" t="s">
        <v>78</v>
      </c>
      <c r="L54">
        <v>5000</v>
      </c>
      <c r="M54">
        <v>3000</v>
      </c>
      <c r="N54" t="s">
        <v>117</v>
      </c>
    </row>
    <row r="55" spans="1:14" x14ac:dyDescent="0.25">
      <c r="A55" t="s">
        <v>119</v>
      </c>
      <c r="B55" t="s">
        <v>76</v>
      </c>
      <c r="C55">
        <v>0.6</v>
      </c>
      <c r="D55">
        <v>38</v>
      </c>
      <c r="E55" t="s">
        <v>115</v>
      </c>
      <c r="F55" t="s">
        <v>116</v>
      </c>
      <c r="G55">
        <v>0.6</v>
      </c>
      <c r="H55" t="s">
        <v>78</v>
      </c>
      <c r="I55">
        <v>38</v>
      </c>
      <c r="J55" t="s">
        <v>76</v>
      </c>
      <c r="K55" t="s">
        <v>78</v>
      </c>
      <c r="L55">
        <v>5000</v>
      </c>
      <c r="M55">
        <v>3000</v>
      </c>
      <c r="N55" t="s">
        <v>117</v>
      </c>
    </row>
    <row r="56" spans="1:14" x14ac:dyDescent="0.25">
      <c r="A56" t="s">
        <v>104</v>
      </c>
      <c r="B56" t="s">
        <v>76</v>
      </c>
      <c r="C56">
        <v>0.6</v>
      </c>
      <c r="D56">
        <v>41</v>
      </c>
      <c r="E56" t="s">
        <v>120</v>
      </c>
      <c r="F56" t="s">
        <v>116</v>
      </c>
      <c r="G56">
        <v>0.6</v>
      </c>
      <c r="H56" t="s">
        <v>78</v>
      </c>
      <c r="I56">
        <v>41</v>
      </c>
      <c r="J56" t="s">
        <v>76</v>
      </c>
      <c r="K56" t="s">
        <v>78</v>
      </c>
      <c r="L56">
        <v>1000</v>
      </c>
      <c r="M56">
        <v>10000</v>
      </c>
      <c r="N56" t="s">
        <v>121</v>
      </c>
    </row>
    <row r="57" spans="1:14" x14ac:dyDescent="0.25">
      <c r="A57" t="s">
        <v>105</v>
      </c>
      <c r="B57" t="s">
        <v>76</v>
      </c>
      <c r="C57">
        <v>0.6</v>
      </c>
      <c r="D57">
        <v>41</v>
      </c>
      <c r="E57" t="s">
        <v>120</v>
      </c>
      <c r="F57" t="s">
        <v>116</v>
      </c>
      <c r="G57">
        <v>0.6</v>
      </c>
      <c r="H57" t="s">
        <v>78</v>
      </c>
      <c r="I57">
        <v>41</v>
      </c>
      <c r="J57" t="s">
        <v>76</v>
      </c>
      <c r="K57" t="s">
        <v>78</v>
      </c>
      <c r="L57">
        <v>1000</v>
      </c>
      <c r="M57">
        <v>10000</v>
      </c>
      <c r="N57" t="s">
        <v>121</v>
      </c>
    </row>
    <row r="58" spans="1:14" x14ac:dyDescent="0.25">
      <c r="A58" t="s">
        <v>98</v>
      </c>
      <c r="B58" t="s">
        <v>76</v>
      </c>
      <c r="C58">
        <v>0.6</v>
      </c>
      <c r="D58">
        <v>41</v>
      </c>
      <c r="E58" t="s">
        <v>120</v>
      </c>
      <c r="F58" t="s">
        <v>116</v>
      </c>
      <c r="G58">
        <v>0.6</v>
      </c>
      <c r="H58" t="s">
        <v>78</v>
      </c>
      <c r="I58">
        <v>41</v>
      </c>
      <c r="J58" t="s">
        <v>76</v>
      </c>
      <c r="K58" t="s">
        <v>78</v>
      </c>
      <c r="L58">
        <v>1000</v>
      </c>
      <c r="M58">
        <v>10000</v>
      </c>
      <c r="N58" t="s">
        <v>121</v>
      </c>
    </row>
    <row r="59" spans="1:14" x14ac:dyDescent="0.25">
      <c r="A59" t="s">
        <v>94</v>
      </c>
      <c r="B59" t="s">
        <v>76</v>
      </c>
      <c r="C59">
        <v>0.6</v>
      </c>
      <c r="D59">
        <v>41</v>
      </c>
      <c r="E59" t="s">
        <v>120</v>
      </c>
      <c r="F59" t="s">
        <v>116</v>
      </c>
      <c r="G59">
        <v>0.6</v>
      </c>
      <c r="H59" t="s">
        <v>78</v>
      </c>
      <c r="I59">
        <v>41</v>
      </c>
      <c r="J59" t="s">
        <v>76</v>
      </c>
      <c r="K59" t="s">
        <v>78</v>
      </c>
      <c r="L59">
        <v>1000</v>
      </c>
      <c r="M59">
        <v>10000</v>
      </c>
      <c r="N59" t="s">
        <v>121</v>
      </c>
    </row>
    <row r="60" spans="1:14" x14ac:dyDescent="0.25">
      <c r="A60" t="s">
        <v>122</v>
      </c>
      <c r="B60" t="s">
        <v>76</v>
      </c>
      <c r="C60">
        <v>0.6</v>
      </c>
      <c r="D60">
        <v>41</v>
      </c>
      <c r="E60" t="s">
        <v>120</v>
      </c>
      <c r="F60" t="s">
        <v>116</v>
      </c>
      <c r="G60">
        <v>0.6</v>
      </c>
      <c r="H60" t="s">
        <v>78</v>
      </c>
      <c r="I60">
        <v>41</v>
      </c>
      <c r="J60" t="s">
        <v>76</v>
      </c>
      <c r="K60" t="s">
        <v>78</v>
      </c>
      <c r="L60">
        <v>1000</v>
      </c>
      <c r="M60">
        <v>10000</v>
      </c>
      <c r="N60" t="s">
        <v>121</v>
      </c>
    </row>
    <row r="61" spans="1:14" x14ac:dyDescent="0.25">
      <c r="A61" t="s">
        <v>123</v>
      </c>
      <c r="B61" t="s">
        <v>76</v>
      </c>
      <c r="C61">
        <v>0.6</v>
      </c>
      <c r="D61">
        <v>41</v>
      </c>
      <c r="E61" t="s">
        <v>120</v>
      </c>
      <c r="F61" t="s">
        <v>116</v>
      </c>
      <c r="G61">
        <v>0.6</v>
      </c>
      <c r="H61" t="s">
        <v>78</v>
      </c>
      <c r="I61">
        <v>41</v>
      </c>
      <c r="J61" t="s">
        <v>76</v>
      </c>
      <c r="K61" t="s">
        <v>78</v>
      </c>
      <c r="L61">
        <v>1000</v>
      </c>
      <c r="M61">
        <v>10000</v>
      </c>
      <c r="N61" t="s">
        <v>121</v>
      </c>
    </row>
    <row r="62" spans="1:14" x14ac:dyDescent="0.25">
      <c r="A62" t="s">
        <v>124</v>
      </c>
      <c r="B62" t="s">
        <v>76</v>
      </c>
      <c r="C62">
        <v>0.6</v>
      </c>
      <c r="D62">
        <v>41</v>
      </c>
      <c r="E62" t="s">
        <v>120</v>
      </c>
      <c r="F62" t="s">
        <v>116</v>
      </c>
      <c r="G62">
        <v>0.6</v>
      </c>
      <c r="H62" t="s">
        <v>78</v>
      </c>
      <c r="I62">
        <v>41</v>
      </c>
      <c r="J62" t="s">
        <v>76</v>
      </c>
      <c r="K62" t="s">
        <v>78</v>
      </c>
      <c r="L62">
        <v>1000</v>
      </c>
      <c r="M62">
        <v>10000</v>
      </c>
      <c r="N62" t="s">
        <v>121</v>
      </c>
    </row>
    <row r="63" spans="1:14" x14ac:dyDescent="0.25">
      <c r="A63" t="s">
        <v>122</v>
      </c>
      <c r="B63" t="s">
        <v>76</v>
      </c>
      <c r="C63">
        <v>0.6</v>
      </c>
      <c r="D63">
        <v>29</v>
      </c>
      <c r="E63" t="s">
        <v>125</v>
      </c>
      <c r="F63" t="s">
        <v>73</v>
      </c>
      <c r="G63">
        <v>0.6</v>
      </c>
      <c r="H63" t="s">
        <v>74</v>
      </c>
      <c r="I63">
        <v>29</v>
      </c>
      <c r="J63" t="s">
        <v>76</v>
      </c>
      <c r="K63" t="s">
        <v>74</v>
      </c>
      <c r="L63">
        <v>15000</v>
      </c>
      <c r="M63">
        <v>3500</v>
      </c>
      <c r="N63" t="s">
        <v>36</v>
      </c>
    </row>
    <row r="64" spans="1:14" x14ac:dyDescent="0.25">
      <c r="A64" t="s">
        <v>99</v>
      </c>
      <c r="B64" t="s">
        <v>77</v>
      </c>
      <c r="C64">
        <v>0.6</v>
      </c>
      <c r="D64">
        <v>29</v>
      </c>
      <c r="E64" t="s">
        <v>125</v>
      </c>
      <c r="F64" t="s">
        <v>73</v>
      </c>
      <c r="G64">
        <v>0.3</v>
      </c>
      <c r="H64" t="s">
        <v>78</v>
      </c>
      <c r="I64">
        <v>29</v>
      </c>
      <c r="J64" t="s">
        <v>77</v>
      </c>
      <c r="K64" t="s">
        <v>78</v>
      </c>
      <c r="L64">
        <v>13500</v>
      </c>
      <c r="M64">
        <v>3850</v>
      </c>
      <c r="N64" t="s">
        <v>126</v>
      </c>
    </row>
    <row r="65" spans="1:14" x14ac:dyDescent="0.25">
      <c r="A65" t="s">
        <v>123</v>
      </c>
      <c r="B65" t="s">
        <v>76</v>
      </c>
      <c r="C65">
        <v>0.6</v>
      </c>
      <c r="D65">
        <v>27</v>
      </c>
      <c r="E65" t="s">
        <v>127</v>
      </c>
      <c r="F65" t="s">
        <v>73</v>
      </c>
      <c r="G65">
        <v>0.3</v>
      </c>
      <c r="H65" t="s">
        <v>74</v>
      </c>
      <c r="I65">
        <v>27</v>
      </c>
      <c r="J65" t="s">
        <v>76</v>
      </c>
      <c r="K65" t="s">
        <v>74</v>
      </c>
      <c r="L65">
        <v>5000</v>
      </c>
      <c r="M65">
        <v>2000</v>
      </c>
      <c r="N65" t="s">
        <v>128</v>
      </c>
    </row>
    <row r="66" spans="1:14" x14ac:dyDescent="0.25">
      <c r="A66" t="s">
        <v>129</v>
      </c>
      <c r="B66" t="s">
        <v>76</v>
      </c>
      <c r="C66">
        <v>0.6</v>
      </c>
      <c r="D66">
        <v>27</v>
      </c>
      <c r="E66" t="s">
        <v>127</v>
      </c>
      <c r="F66" t="s">
        <v>73</v>
      </c>
      <c r="G66">
        <v>0.6</v>
      </c>
      <c r="H66" t="s">
        <v>74</v>
      </c>
      <c r="I66">
        <v>27</v>
      </c>
      <c r="J66" t="s">
        <v>76</v>
      </c>
      <c r="K66" t="s">
        <v>74</v>
      </c>
      <c r="L66">
        <v>5000</v>
      </c>
      <c r="M66">
        <v>2000</v>
      </c>
      <c r="N66" t="s">
        <v>128</v>
      </c>
    </row>
    <row r="67" spans="1:14" x14ac:dyDescent="0.25">
      <c r="A67" t="s">
        <v>124</v>
      </c>
      <c r="B67" t="s">
        <v>76</v>
      </c>
      <c r="C67">
        <v>0.6</v>
      </c>
      <c r="D67">
        <v>31</v>
      </c>
      <c r="E67" t="s">
        <v>131</v>
      </c>
      <c r="F67" t="s">
        <v>73</v>
      </c>
      <c r="G67">
        <v>0.6</v>
      </c>
      <c r="H67" t="s">
        <v>74</v>
      </c>
      <c r="I67">
        <v>31</v>
      </c>
      <c r="J67" t="s">
        <v>76</v>
      </c>
      <c r="K67" t="s">
        <v>74</v>
      </c>
      <c r="L67">
        <v>2000</v>
      </c>
      <c r="M67">
        <v>1200</v>
      </c>
      <c r="N67" t="s">
        <v>132</v>
      </c>
    </row>
    <row r="68" spans="1:14" ht="16.2" customHeight="1" x14ac:dyDescent="0.25">
      <c r="A68" t="s">
        <v>123</v>
      </c>
      <c r="B68" t="s">
        <v>76</v>
      </c>
      <c r="C68">
        <v>0.6</v>
      </c>
      <c r="D68">
        <v>30</v>
      </c>
      <c r="E68" t="s">
        <v>130</v>
      </c>
      <c r="F68" t="s">
        <v>73</v>
      </c>
      <c r="G68">
        <v>0.3</v>
      </c>
      <c r="H68" t="s">
        <v>74</v>
      </c>
      <c r="I68">
        <v>30</v>
      </c>
      <c r="J68" t="s">
        <v>76</v>
      </c>
      <c r="K68" t="s">
        <v>74</v>
      </c>
      <c r="L68">
        <v>5000</v>
      </c>
      <c r="M68">
        <v>2000</v>
      </c>
      <c r="N68" t="s">
        <v>156</v>
      </c>
    </row>
    <row r="69" spans="1:14" x14ac:dyDescent="0.25">
      <c r="A69" t="s">
        <v>118</v>
      </c>
      <c r="B69" t="s">
        <v>76</v>
      </c>
      <c r="C69">
        <v>0.6</v>
      </c>
      <c r="D69">
        <v>24</v>
      </c>
      <c r="E69" t="s">
        <v>133</v>
      </c>
      <c r="F69" t="s">
        <v>73</v>
      </c>
      <c r="G69">
        <v>0.6</v>
      </c>
      <c r="H69" t="s">
        <v>74</v>
      </c>
      <c r="I69">
        <v>24</v>
      </c>
      <c r="J69" t="s">
        <v>76</v>
      </c>
      <c r="K69" t="s">
        <v>74</v>
      </c>
      <c r="L69">
        <v>3000</v>
      </c>
      <c r="M69">
        <v>2000</v>
      </c>
      <c r="N69" t="s">
        <v>134</v>
      </c>
    </row>
    <row r="70" spans="1:14" x14ac:dyDescent="0.25">
      <c r="A70" t="s">
        <v>95</v>
      </c>
      <c r="B70" t="s">
        <v>77</v>
      </c>
      <c r="C70">
        <v>0.6</v>
      </c>
      <c r="D70">
        <v>24</v>
      </c>
      <c r="E70" t="s">
        <v>133</v>
      </c>
      <c r="F70" t="s">
        <v>73</v>
      </c>
      <c r="G70">
        <v>0.3</v>
      </c>
      <c r="H70" t="s">
        <v>78</v>
      </c>
      <c r="I70">
        <v>24</v>
      </c>
      <c r="J70" t="s">
        <v>77</v>
      </c>
      <c r="K70" t="s">
        <v>78</v>
      </c>
      <c r="L70">
        <v>2700</v>
      </c>
      <c r="M70">
        <v>2200</v>
      </c>
      <c r="N70" t="s">
        <v>135</v>
      </c>
    </row>
    <row r="71" spans="1:14" x14ac:dyDescent="0.25">
      <c r="A71" t="s">
        <v>119</v>
      </c>
      <c r="B71" t="s">
        <v>76</v>
      </c>
      <c r="C71">
        <v>0.6</v>
      </c>
      <c r="D71">
        <v>25</v>
      </c>
      <c r="E71" t="s">
        <v>136</v>
      </c>
      <c r="F71" t="s">
        <v>73</v>
      </c>
      <c r="G71">
        <v>0.6</v>
      </c>
      <c r="H71" t="s">
        <v>74</v>
      </c>
      <c r="I71">
        <v>25</v>
      </c>
      <c r="J71" t="s">
        <v>76</v>
      </c>
      <c r="K71" t="s">
        <v>74</v>
      </c>
      <c r="L71">
        <v>4000</v>
      </c>
      <c r="M71">
        <v>3000</v>
      </c>
      <c r="N71" t="s">
        <v>48</v>
      </c>
    </row>
    <row r="72" spans="1:14" x14ac:dyDescent="0.25">
      <c r="A72" t="s">
        <v>99</v>
      </c>
      <c r="B72" t="s">
        <v>77</v>
      </c>
      <c r="C72">
        <v>0.6</v>
      </c>
      <c r="D72">
        <v>25</v>
      </c>
      <c r="E72" t="s">
        <v>136</v>
      </c>
      <c r="F72" t="s">
        <v>73</v>
      </c>
      <c r="G72">
        <v>0.3</v>
      </c>
      <c r="H72" t="s">
        <v>74</v>
      </c>
      <c r="I72">
        <v>25</v>
      </c>
      <c r="J72" t="s">
        <v>77</v>
      </c>
      <c r="K72" t="s">
        <v>78</v>
      </c>
      <c r="L72">
        <v>3600</v>
      </c>
      <c r="M72">
        <v>3300</v>
      </c>
      <c r="N72" t="s">
        <v>97</v>
      </c>
    </row>
    <row r="73" spans="1:14" x14ac:dyDescent="0.25">
      <c r="A73" t="s">
        <v>137</v>
      </c>
      <c r="B73" t="s">
        <v>76</v>
      </c>
      <c r="C73">
        <v>0.6</v>
      </c>
      <c r="D73">
        <v>39</v>
      </c>
      <c r="E73" t="s">
        <v>138</v>
      </c>
      <c r="F73" t="s">
        <v>116</v>
      </c>
      <c r="G73">
        <v>0.6</v>
      </c>
      <c r="H73" t="s">
        <v>78</v>
      </c>
      <c r="I73">
        <v>39</v>
      </c>
      <c r="J73" t="s">
        <v>76</v>
      </c>
      <c r="K73" t="s">
        <v>78</v>
      </c>
      <c r="L73">
        <v>4000</v>
      </c>
      <c r="M73">
        <v>2000</v>
      </c>
      <c r="N73" t="s">
        <v>139</v>
      </c>
    </row>
    <row r="74" spans="1:14" x14ac:dyDescent="0.25">
      <c r="A74" t="s">
        <v>89</v>
      </c>
      <c r="B74" t="s">
        <v>76</v>
      </c>
      <c r="C74">
        <v>0.6</v>
      </c>
      <c r="D74">
        <v>39</v>
      </c>
      <c r="E74" t="s">
        <v>138</v>
      </c>
      <c r="F74" t="s">
        <v>116</v>
      </c>
      <c r="G74">
        <v>0.6</v>
      </c>
      <c r="H74" t="s">
        <v>78</v>
      </c>
      <c r="I74">
        <v>39</v>
      </c>
      <c r="J74" t="s">
        <v>76</v>
      </c>
      <c r="K74" t="s">
        <v>78</v>
      </c>
      <c r="L74">
        <v>4000</v>
      </c>
      <c r="M74">
        <v>2000</v>
      </c>
      <c r="N74" t="s">
        <v>139</v>
      </c>
    </row>
    <row r="75" spans="1:14" x14ac:dyDescent="0.25">
      <c r="A75" t="s">
        <v>129</v>
      </c>
      <c r="B75" t="s">
        <v>76</v>
      </c>
      <c r="C75">
        <v>0.6</v>
      </c>
      <c r="D75">
        <v>39</v>
      </c>
      <c r="E75" t="s">
        <v>138</v>
      </c>
      <c r="F75" t="s">
        <v>116</v>
      </c>
      <c r="G75">
        <v>0.6</v>
      </c>
      <c r="H75" t="s">
        <v>78</v>
      </c>
      <c r="I75">
        <v>39</v>
      </c>
      <c r="J75" t="s">
        <v>76</v>
      </c>
      <c r="K75" t="s">
        <v>78</v>
      </c>
      <c r="L75">
        <v>4000</v>
      </c>
      <c r="M75">
        <v>2000</v>
      </c>
      <c r="N75" t="s">
        <v>139</v>
      </c>
    </row>
    <row r="76" spans="1:14" x14ac:dyDescent="0.25">
      <c r="A76" t="s">
        <v>137</v>
      </c>
      <c r="B76" t="s">
        <v>76</v>
      </c>
      <c r="C76">
        <v>0.6</v>
      </c>
      <c r="D76">
        <v>26</v>
      </c>
      <c r="E76" t="s">
        <v>140</v>
      </c>
      <c r="F76" t="s">
        <v>73</v>
      </c>
      <c r="G76">
        <v>0.6</v>
      </c>
      <c r="H76" t="s">
        <v>74</v>
      </c>
      <c r="I76">
        <v>26</v>
      </c>
      <c r="J76" t="s">
        <v>76</v>
      </c>
      <c r="K76" t="s">
        <v>74</v>
      </c>
      <c r="L76">
        <v>4500</v>
      </c>
      <c r="M76">
        <v>3500</v>
      </c>
      <c r="N76" t="s">
        <v>141</v>
      </c>
    </row>
    <row r="77" spans="1:14" x14ac:dyDescent="0.25">
      <c r="A77" t="s">
        <v>99</v>
      </c>
      <c r="B77" t="s">
        <v>77</v>
      </c>
      <c r="C77">
        <v>0.6</v>
      </c>
      <c r="D77">
        <v>26</v>
      </c>
      <c r="E77" t="s">
        <v>140</v>
      </c>
      <c r="F77" t="s">
        <v>73</v>
      </c>
      <c r="G77">
        <v>0.3</v>
      </c>
      <c r="H77" t="s">
        <v>74</v>
      </c>
      <c r="I77">
        <v>26</v>
      </c>
      <c r="J77" t="s">
        <v>77</v>
      </c>
      <c r="K77" t="s">
        <v>78</v>
      </c>
      <c r="L77">
        <v>4100</v>
      </c>
      <c r="M77">
        <v>3850</v>
      </c>
      <c r="N77" t="s">
        <v>142</v>
      </c>
    </row>
    <row r="78" spans="1:14" x14ac:dyDescent="0.25">
      <c r="A78" t="s">
        <v>143</v>
      </c>
      <c r="B78" t="s">
        <v>76</v>
      </c>
      <c r="C78">
        <v>0.6</v>
      </c>
      <c r="D78">
        <v>40</v>
      </c>
      <c r="E78" t="s">
        <v>144</v>
      </c>
      <c r="F78" t="s">
        <v>116</v>
      </c>
      <c r="G78">
        <v>0.6</v>
      </c>
      <c r="H78" t="s">
        <v>78</v>
      </c>
      <c r="I78">
        <v>40</v>
      </c>
      <c r="J78" t="s">
        <v>76</v>
      </c>
      <c r="K78" t="s">
        <v>78</v>
      </c>
      <c r="L78">
        <v>10000</v>
      </c>
      <c r="M78">
        <v>10000</v>
      </c>
      <c r="N78" t="s">
        <v>145</v>
      </c>
    </row>
    <row r="79" spans="1:14" x14ac:dyDescent="0.25">
      <c r="A79" t="s">
        <v>146</v>
      </c>
      <c r="B79" t="s">
        <v>76</v>
      </c>
      <c r="C79">
        <v>0.6</v>
      </c>
      <c r="D79">
        <v>40</v>
      </c>
      <c r="E79" t="s">
        <v>144</v>
      </c>
      <c r="F79" t="s">
        <v>116</v>
      </c>
      <c r="G79">
        <v>0.6</v>
      </c>
      <c r="H79" t="s">
        <v>78</v>
      </c>
      <c r="I79">
        <v>40</v>
      </c>
      <c r="J79" t="s">
        <v>76</v>
      </c>
      <c r="K79" t="s">
        <v>78</v>
      </c>
      <c r="L79">
        <v>10000</v>
      </c>
      <c r="M79">
        <v>10000</v>
      </c>
      <c r="N79" t="s">
        <v>145</v>
      </c>
    </row>
    <row r="80" spans="1:14" x14ac:dyDescent="0.25">
      <c r="A80" t="s">
        <v>110</v>
      </c>
      <c r="B80" t="s">
        <v>76</v>
      </c>
      <c r="C80">
        <v>0.6</v>
      </c>
      <c r="D80">
        <v>40</v>
      </c>
      <c r="E80" t="s">
        <v>144</v>
      </c>
      <c r="F80" t="s">
        <v>116</v>
      </c>
      <c r="G80">
        <v>0.6</v>
      </c>
      <c r="H80" t="s">
        <v>78</v>
      </c>
      <c r="I80">
        <v>40</v>
      </c>
      <c r="J80" t="s">
        <v>76</v>
      </c>
      <c r="K80" t="s">
        <v>78</v>
      </c>
      <c r="L80">
        <v>10000</v>
      </c>
      <c r="M80">
        <v>10000</v>
      </c>
      <c r="N80" t="s">
        <v>145</v>
      </c>
    </row>
    <row r="81" spans="1:14" x14ac:dyDescent="0.25">
      <c r="A81" t="s">
        <v>143</v>
      </c>
      <c r="B81" t="s">
        <v>76</v>
      </c>
      <c r="C81">
        <v>0.6</v>
      </c>
      <c r="D81">
        <v>19</v>
      </c>
      <c r="E81" t="s">
        <v>147</v>
      </c>
      <c r="F81" t="s">
        <v>101</v>
      </c>
      <c r="G81">
        <v>0.6</v>
      </c>
      <c r="H81" t="s">
        <v>74</v>
      </c>
      <c r="I81">
        <v>19</v>
      </c>
      <c r="J81" t="s">
        <v>76</v>
      </c>
      <c r="K81" t="s">
        <v>74</v>
      </c>
      <c r="L81">
        <v>3600</v>
      </c>
      <c r="M81">
        <v>2400</v>
      </c>
      <c r="N81" t="s">
        <v>148</v>
      </c>
    </row>
    <row r="82" spans="1:14" x14ac:dyDescent="0.25">
      <c r="A82" t="s">
        <v>146</v>
      </c>
      <c r="B82" t="s">
        <v>76</v>
      </c>
      <c r="C82">
        <v>0.6</v>
      </c>
      <c r="D82">
        <v>19</v>
      </c>
      <c r="E82" t="s">
        <v>147</v>
      </c>
      <c r="F82" t="s">
        <v>101</v>
      </c>
      <c r="G82">
        <v>0.6</v>
      </c>
      <c r="H82" t="s">
        <v>74</v>
      </c>
      <c r="I82">
        <v>19</v>
      </c>
      <c r="J82" t="s">
        <v>76</v>
      </c>
      <c r="K82" t="s">
        <v>74</v>
      </c>
      <c r="L82">
        <v>3600</v>
      </c>
      <c r="M82">
        <v>2400</v>
      </c>
      <c r="N82" t="s">
        <v>148</v>
      </c>
    </row>
    <row r="83" spans="1:14" x14ac:dyDescent="0.25">
      <c r="A83" t="s">
        <v>150</v>
      </c>
      <c r="B83" t="s">
        <v>77</v>
      </c>
      <c r="C83">
        <v>0.6</v>
      </c>
      <c r="D83">
        <v>19</v>
      </c>
      <c r="E83" t="s">
        <v>147</v>
      </c>
      <c r="F83" t="s">
        <v>101</v>
      </c>
      <c r="G83">
        <v>0.6</v>
      </c>
      <c r="H83" t="s">
        <v>74</v>
      </c>
      <c r="I83">
        <v>19</v>
      </c>
      <c r="J83" t="s">
        <v>77</v>
      </c>
      <c r="K83" t="s">
        <v>78</v>
      </c>
      <c r="L83">
        <v>3200</v>
      </c>
      <c r="M83">
        <v>2640</v>
      </c>
      <c r="N83" t="s">
        <v>149</v>
      </c>
    </row>
    <row r="84" spans="1:14" x14ac:dyDescent="0.25">
      <c r="A84" t="s">
        <v>95</v>
      </c>
      <c r="B84" t="s">
        <v>77</v>
      </c>
      <c r="C84">
        <v>0.6</v>
      </c>
      <c r="D84">
        <v>32</v>
      </c>
      <c r="E84" t="s">
        <v>151</v>
      </c>
      <c r="F84" t="s">
        <v>73</v>
      </c>
      <c r="G84">
        <v>0.3</v>
      </c>
      <c r="H84" t="s">
        <v>74</v>
      </c>
      <c r="I84">
        <v>32</v>
      </c>
      <c r="J84" t="s">
        <v>77</v>
      </c>
      <c r="K84" t="s">
        <v>78</v>
      </c>
      <c r="L84">
        <v>11000</v>
      </c>
      <c r="M84">
        <v>5500</v>
      </c>
      <c r="N84" t="s">
        <v>152</v>
      </c>
    </row>
    <row r="85" spans="1:14" x14ac:dyDescent="0.25">
      <c r="A85" t="s">
        <v>95</v>
      </c>
      <c r="B85" t="s">
        <v>77</v>
      </c>
      <c r="C85">
        <v>0.6</v>
      </c>
      <c r="D85">
        <v>33</v>
      </c>
      <c r="E85" t="s">
        <v>153</v>
      </c>
      <c r="F85" t="s">
        <v>73</v>
      </c>
      <c r="G85">
        <v>0.3</v>
      </c>
      <c r="H85" t="s">
        <v>74</v>
      </c>
      <c r="I85">
        <v>33</v>
      </c>
      <c r="J85" t="s">
        <v>77</v>
      </c>
      <c r="K85" t="s">
        <v>78</v>
      </c>
      <c r="L85">
        <v>5400</v>
      </c>
      <c r="M85">
        <v>2750</v>
      </c>
      <c r="N85" t="s">
        <v>154</v>
      </c>
    </row>
    <row r="86" spans="1:14" x14ac:dyDescent="0.25">
      <c r="A86" t="s">
        <v>90</v>
      </c>
      <c r="B86" t="s">
        <v>77</v>
      </c>
      <c r="C86">
        <v>0.6</v>
      </c>
      <c r="D86">
        <v>30</v>
      </c>
      <c r="E86" t="s">
        <v>155</v>
      </c>
      <c r="F86" t="s">
        <v>73</v>
      </c>
      <c r="G86">
        <v>0.3</v>
      </c>
      <c r="H86" t="s">
        <v>78</v>
      </c>
      <c r="I86">
        <v>30</v>
      </c>
      <c r="J86" t="s">
        <v>77</v>
      </c>
      <c r="K86" t="s">
        <v>78</v>
      </c>
      <c r="L86">
        <v>4500</v>
      </c>
      <c r="M86">
        <v>2200</v>
      </c>
      <c r="N86" t="s">
        <v>157</v>
      </c>
    </row>
    <row r="87" spans="1:14" x14ac:dyDescent="0.25">
      <c r="A87" t="s">
        <v>150</v>
      </c>
      <c r="B87" t="s">
        <v>77</v>
      </c>
      <c r="C87">
        <v>0.6</v>
      </c>
      <c r="D87">
        <v>34</v>
      </c>
      <c r="E87" t="s">
        <v>158</v>
      </c>
      <c r="F87" t="s">
        <v>73</v>
      </c>
      <c r="G87">
        <v>0.3</v>
      </c>
      <c r="H87" t="s">
        <v>78</v>
      </c>
      <c r="I87">
        <v>34</v>
      </c>
      <c r="J87" t="s">
        <v>77</v>
      </c>
      <c r="K87" t="s">
        <v>78</v>
      </c>
      <c r="L87">
        <v>6000</v>
      </c>
      <c r="M87">
        <v>1200</v>
      </c>
      <c r="N87" t="s">
        <v>159</v>
      </c>
    </row>
    <row r="88" spans="1:14" x14ac:dyDescent="0.25">
      <c r="A88" t="s">
        <v>150</v>
      </c>
      <c r="B88" t="s">
        <v>77</v>
      </c>
      <c r="C88">
        <v>0.6</v>
      </c>
      <c r="D88">
        <v>23</v>
      </c>
      <c r="E88" t="s">
        <v>160</v>
      </c>
      <c r="F88" t="s">
        <v>73</v>
      </c>
      <c r="G88">
        <v>0.3</v>
      </c>
      <c r="H88" t="s">
        <v>78</v>
      </c>
      <c r="I88">
        <v>23</v>
      </c>
      <c r="J88" t="s">
        <v>77</v>
      </c>
      <c r="K88" t="s">
        <v>78</v>
      </c>
      <c r="L88">
        <v>3000</v>
      </c>
      <c r="M88">
        <v>3000</v>
      </c>
      <c r="N88" t="s">
        <v>161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8"/>
  <sheetViews>
    <sheetView tabSelected="1" topLeftCell="B49" zoomScaleNormal="100" workbookViewId="0">
      <selection activeCell="N80" sqref="N80"/>
    </sheetView>
  </sheetViews>
  <sheetFormatPr defaultRowHeight="14.4" x14ac:dyDescent="0.25"/>
  <cols>
    <col min="3" max="3" width="12.77734375" customWidth="1"/>
    <col min="4" max="4" width="13.21875" customWidth="1"/>
    <col min="5" max="5" width="18.5546875" customWidth="1"/>
    <col min="6" max="6" width="17.88671875" customWidth="1"/>
    <col min="8" max="8" width="12.5546875" customWidth="1"/>
    <col min="9" max="9" width="18.109375" customWidth="1"/>
    <col min="10" max="10" width="17.88671875" customWidth="1"/>
    <col min="11" max="11" width="9.88671875" customWidth="1"/>
    <col min="12" max="12" width="22.77734375" customWidth="1"/>
  </cols>
  <sheetData>
    <row r="1" spans="1:12" x14ac:dyDescent="0.25">
      <c r="A1" s="1" t="s">
        <v>3</v>
      </c>
      <c r="B1" s="1" t="s">
        <v>4</v>
      </c>
      <c r="C1" s="1" t="s">
        <v>5</v>
      </c>
      <c r="D1" s="2" t="s">
        <v>174</v>
      </c>
      <c r="E1" s="2" t="s">
        <v>169</v>
      </c>
      <c r="F1" s="2" t="s">
        <v>164</v>
      </c>
      <c r="G1" s="2" t="s">
        <v>173</v>
      </c>
      <c r="H1" s="2" t="s">
        <v>170</v>
      </c>
      <c r="I1" s="7" t="s">
        <v>171</v>
      </c>
      <c r="J1" s="7" t="s">
        <v>172</v>
      </c>
      <c r="K1" s="1" t="s">
        <v>7</v>
      </c>
      <c r="L1" s="2" t="s">
        <v>175</v>
      </c>
    </row>
    <row r="2" spans="1:12" x14ac:dyDescent="0.25">
      <c r="A2">
        <v>6</v>
      </c>
      <c r="B2" t="s">
        <v>14</v>
      </c>
      <c r="C2" t="s">
        <v>15</v>
      </c>
      <c r="D2" t="s">
        <v>12</v>
      </c>
      <c r="E2">
        <v>800</v>
      </c>
      <c r="F2" t="s">
        <v>13</v>
      </c>
      <c r="G2">
        <v>450</v>
      </c>
      <c r="H2">
        <v>80</v>
      </c>
      <c r="I2">
        <v>64000</v>
      </c>
      <c r="J2">
        <v>3.3745401188473632</v>
      </c>
      <c r="K2" t="s">
        <v>16</v>
      </c>
      <c r="L2">
        <f>G2/E2</f>
        <v>0.5625</v>
      </c>
    </row>
    <row r="3" spans="1:12" x14ac:dyDescent="0.25">
      <c r="A3">
        <v>6</v>
      </c>
      <c r="B3" t="s">
        <v>14</v>
      </c>
      <c r="C3" t="s">
        <v>15</v>
      </c>
      <c r="D3" t="s">
        <v>20</v>
      </c>
      <c r="E3">
        <v>760</v>
      </c>
      <c r="F3" t="s">
        <v>18</v>
      </c>
      <c r="G3">
        <v>450</v>
      </c>
      <c r="H3">
        <v>60</v>
      </c>
      <c r="I3">
        <v>45600</v>
      </c>
      <c r="J3">
        <v>3.9507143064099162</v>
      </c>
      <c r="K3" t="s">
        <v>16</v>
      </c>
      <c r="L3">
        <f t="shared" ref="L3:L66" si="0">G3/E3</f>
        <v>0.59210526315789469</v>
      </c>
    </row>
    <row r="4" spans="1:12" x14ac:dyDescent="0.25">
      <c r="A4">
        <v>6</v>
      </c>
      <c r="B4" t="s">
        <v>14</v>
      </c>
      <c r="C4" t="s">
        <v>15</v>
      </c>
      <c r="D4" t="s">
        <v>21</v>
      </c>
      <c r="E4">
        <v>760</v>
      </c>
      <c r="F4" t="s">
        <v>18</v>
      </c>
      <c r="G4">
        <v>450</v>
      </c>
      <c r="H4">
        <v>55</v>
      </c>
      <c r="I4">
        <v>41800</v>
      </c>
      <c r="J4">
        <v>3.731993941811405</v>
      </c>
      <c r="K4" t="s">
        <v>16</v>
      </c>
      <c r="L4">
        <f t="shared" si="0"/>
        <v>0.59210526315789469</v>
      </c>
    </row>
    <row r="5" spans="1:12" x14ac:dyDescent="0.25">
      <c r="A5">
        <v>6</v>
      </c>
      <c r="B5" t="s">
        <v>14</v>
      </c>
      <c r="C5" t="s">
        <v>15</v>
      </c>
      <c r="D5" t="s">
        <v>22</v>
      </c>
      <c r="E5">
        <v>720</v>
      </c>
      <c r="F5" t="s">
        <v>19</v>
      </c>
      <c r="G5">
        <v>450</v>
      </c>
      <c r="H5">
        <v>27</v>
      </c>
      <c r="I5">
        <v>19440</v>
      </c>
      <c r="J5">
        <v>3.598658484197037</v>
      </c>
      <c r="K5" t="s">
        <v>16</v>
      </c>
      <c r="L5">
        <f t="shared" si="0"/>
        <v>0.625</v>
      </c>
    </row>
    <row r="6" spans="1:12" x14ac:dyDescent="0.25">
      <c r="A6">
        <v>7</v>
      </c>
      <c r="B6" t="s">
        <v>24</v>
      </c>
      <c r="C6" t="s">
        <v>15</v>
      </c>
      <c r="D6" t="s">
        <v>23</v>
      </c>
      <c r="E6">
        <v>1000</v>
      </c>
      <c r="F6" t="s">
        <v>13</v>
      </c>
      <c r="G6">
        <v>500</v>
      </c>
      <c r="H6">
        <v>55</v>
      </c>
      <c r="I6">
        <v>55000</v>
      </c>
      <c r="J6">
        <v>2.656018640442436</v>
      </c>
      <c r="K6" t="s">
        <v>16</v>
      </c>
      <c r="L6">
        <f t="shared" si="0"/>
        <v>0.5</v>
      </c>
    </row>
    <row r="7" spans="1:12" x14ac:dyDescent="0.25">
      <c r="A7">
        <v>7</v>
      </c>
      <c r="B7" t="s">
        <v>24</v>
      </c>
      <c r="C7" t="s">
        <v>15</v>
      </c>
      <c r="D7" t="s">
        <v>26</v>
      </c>
      <c r="E7">
        <v>1000</v>
      </c>
      <c r="F7" t="s">
        <v>13</v>
      </c>
      <c r="G7">
        <v>500</v>
      </c>
      <c r="H7">
        <v>35</v>
      </c>
      <c r="I7">
        <v>35000</v>
      </c>
      <c r="J7">
        <v>2.6559945203362032</v>
      </c>
      <c r="K7" t="s">
        <v>16</v>
      </c>
      <c r="L7">
        <f t="shared" si="0"/>
        <v>0.5</v>
      </c>
    </row>
    <row r="8" spans="1:12" x14ac:dyDescent="0.25">
      <c r="A8">
        <v>7</v>
      </c>
      <c r="B8" t="s">
        <v>24</v>
      </c>
      <c r="C8" t="s">
        <v>15</v>
      </c>
      <c r="D8" t="s">
        <v>27</v>
      </c>
      <c r="E8">
        <v>950</v>
      </c>
      <c r="F8" t="s">
        <v>18</v>
      </c>
      <c r="G8">
        <v>500</v>
      </c>
      <c r="H8">
        <v>45</v>
      </c>
      <c r="I8">
        <v>42750</v>
      </c>
      <c r="J8">
        <v>2.5580836121682</v>
      </c>
      <c r="K8" t="s">
        <v>16</v>
      </c>
      <c r="L8">
        <f t="shared" si="0"/>
        <v>0.52631578947368418</v>
      </c>
    </row>
    <row r="9" spans="1:12" x14ac:dyDescent="0.25">
      <c r="A9">
        <v>1</v>
      </c>
      <c r="B9" t="s">
        <v>29</v>
      </c>
      <c r="C9" t="s">
        <v>30</v>
      </c>
      <c r="D9" t="s">
        <v>28</v>
      </c>
      <c r="E9">
        <v>400</v>
      </c>
      <c r="F9" t="s">
        <v>13</v>
      </c>
      <c r="G9">
        <v>400</v>
      </c>
      <c r="H9">
        <v>72</v>
      </c>
      <c r="I9">
        <v>28800</v>
      </c>
      <c r="J9">
        <v>3.7992642186624028</v>
      </c>
      <c r="K9" t="s">
        <v>16</v>
      </c>
      <c r="L9">
        <f t="shared" si="0"/>
        <v>1</v>
      </c>
    </row>
    <row r="10" spans="1:12" x14ac:dyDescent="0.25">
      <c r="A10">
        <v>1</v>
      </c>
      <c r="B10" t="s">
        <v>29</v>
      </c>
      <c r="C10" t="s">
        <v>30</v>
      </c>
      <c r="D10" t="s">
        <v>32</v>
      </c>
      <c r="E10">
        <v>380</v>
      </c>
      <c r="F10" t="s">
        <v>18</v>
      </c>
      <c r="G10">
        <v>400</v>
      </c>
      <c r="H10">
        <v>60</v>
      </c>
      <c r="I10">
        <v>22800</v>
      </c>
      <c r="J10">
        <v>3.4016725176148128</v>
      </c>
      <c r="K10" t="s">
        <v>16</v>
      </c>
      <c r="L10">
        <f t="shared" si="0"/>
        <v>1.0526315789473684</v>
      </c>
    </row>
    <row r="11" spans="1:12" x14ac:dyDescent="0.25">
      <c r="A11">
        <v>1</v>
      </c>
      <c r="B11" t="s">
        <v>29</v>
      </c>
      <c r="C11" t="s">
        <v>30</v>
      </c>
      <c r="D11" t="s">
        <v>33</v>
      </c>
      <c r="E11">
        <v>360</v>
      </c>
      <c r="F11" t="s">
        <v>19</v>
      </c>
      <c r="G11">
        <v>400</v>
      </c>
      <c r="H11">
        <v>15</v>
      </c>
      <c r="I11">
        <v>5400</v>
      </c>
      <c r="J11">
        <v>3.5621088666940679</v>
      </c>
      <c r="K11" t="s">
        <v>16</v>
      </c>
      <c r="L11">
        <f t="shared" si="0"/>
        <v>1.1111111111111112</v>
      </c>
    </row>
    <row r="12" spans="1:12" x14ac:dyDescent="0.25">
      <c r="A12">
        <v>4</v>
      </c>
      <c r="B12" t="s">
        <v>35</v>
      </c>
      <c r="C12" t="s">
        <v>30</v>
      </c>
      <c r="D12" t="s">
        <v>34</v>
      </c>
      <c r="E12">
        <v>350</v>
      </c>
      <c r="F12" t="s">
        <v>13</v>
      </c>
      <c r="G12">
        <v>350</v>
      </c>
      <c r="H12">
        <v>68</v>
      </c>
      <c r="I12">
        <v>23800</v>
      </c>
      <c r="J12">
        <v>6.0411689885916049</v>
      </c>
      <c r="K12" t="s">
        <v>16</v>
      </c>
      <c r="L12">
        <f t="shared" si="0"/>
        <v>1</v>
      </c>
    </row>
    <row r="13" spans="1:12" x14ac:dyDescent="0.25">
      <c r="A13">
        <v>4</v>
      </c>
      <c r="B13" t="s">
        <v>35</v>
      </c>
      <c r="C13" t="s">
        <v>30</v>
      </c>
      <c r="D13" t="s">
        <v>37</v>
      </c>
      <c r="E13">
        <v>330</v>
      </c>
      <c r="F13" t="s">
        <v>18</v>
      </c>
      <c r="G13">
        <v>350</v>
      </c>
      <c r="H13">
        <v>28</v>
      </c>
      <c r="I13">
        <v>9240</v>
      </c>
      <c r="J13">
        <v>7.9398197043239884</v>
      </c>
      <c r="K13" t="s">
        <v>16</v>
      </c>
      <c r="L13">
        <f t="shared" si="0"/>
        <v>1.0606060606060606</v>
      </c>
    </row>
    <row r="14" spans="1:12" x14ac:dyDescent="0.25">
      <c r="A14">
        <v>8</v>
      </c>
      <c r="B14" t="s">
        <v>39</v>
      </c>
      <c r="C14" t="s">
        <v>15</v>
      </c>
      <c r="D14" t="s">
        <v>38</v>
      </c>
      <c r="E14">
        <v>400</v>
      </c>
      <c r="F14" t="s">
        <v>13</v>
      </c>
      <c r="G14">
        <v>360</v>
      </c>
      <c r="H14">
        <v>55</v>
      </c>
      <c r="I14">
        <v>22000</v>
      </c>
      <c r="J14">
        <v>7.2486639612006316</v>
      </c>
      <c r="K14" t="s">
        <v>16</v>
      </c>
      <c r="L14">
        <f t="shared" si="0"/>
        <v>0.9</v>
      </c>
    </row>
    <row r="15" spans="1:12" x14ac:dyDescent="0.25">
      <c r="A15">
        <v>8</v>
      </c>
      <c r="B15" t="s">
        <v>39</v>
      </c>
      <c r="C15" t="s">
        <v>15</v>
      </c>
      <c r="D15" t="s">
        <v>41</v>
      </c>
      <c r="E15">
        <v>380</v>
      </c>
      <c r="F15" t="s">
        <v>18</v>
      </c>
      <c r="G15">
        <v>360</v>
      </c>
      <c r="H15">
        <v>86</v>
      </c>
      <c r="I15">
        <v>32680</v>
      </c>
      <c r="J15">
        <v>6.3185086660174141</v>
      </c>
      <c r="K15" t="s">
        <v>16</v>
      </c>
      <c r="L15">
        <f t="shared" si="0"/>
        <v>0.94736842105263153</v>
      </c>
    </row>
    <row r="16" spans="1:12" x14ac:dyDescent="0.25">
      <c r="A16">
        <v>8</v>
      </c>
      <c r="B16" t="s">
        <v>39</v>
      </c>
      <c r="C16" t="s">
        <v>15</v>
      </c>
      <c r="D16" t="s">
        <v>42</v>
      </c>
      <c r="E16">
        <v>380</v>
      </c>
      <c r="F16" t="s">
        <v>18</v>
      </c>
      <c r="G16">
        <v>360</v>
      </c>
      <c r="H16">
        <v>44</v>
      </c>
      <c r="I16">
        <v>16720</v>
      </c>
      <c r="J16">
        <v>6.2727374508106513</v>
      </c>
      <c r="K16" t="s">
        <v>16</v>
      </c>
      <c r="L16">
        <f t="shared" si="0"/>
        <v>0.94736842105263153</v>
      </c>
    </row>
    <row r="17" spans="1:12" x14ac:dyDescent="0.25">
      <c r="A17">
        <v>10</v>
      </c>
      <c r="B17" t="s">
        <v>44</v>
      </c>
      <c r="C17" t="s">
        <v>15</v>
      </c>
      <c r="D17" t="s">
        <v>43</v>
      </c>
      <c r="E17">
        <v>500</v>
      </c>
      <c r="F17" t="s">
        <v>18</v>
      </c>
      <c r="G17">
        <v>360</v>
      </c>
      <c r="H17">
        <v>25</v>
      </c>
      <c r="I17">
        <v>12500</v>
      </c>
      <c r="J17">
        <v>6.8668090197068672</v>
      </c>
      <c r="K17" t="s">
        <v>16</v>
      </c>
      <c r="L17">
        <f t="shared" si="0"/>
        <v>0.72</v>
      </c>
    </row>
    <row r="18" spans="1:12" x14ac:dyDescent="0.25">
      <c r="A18">
        <v>14</v>
      </c>
      <c r="B18" t="s">
        <v>47</v>
      </c>
      <c r="C18" t="s">
        <v>15</v>
      </c>
      <c r="D18" t="s">
        <v>46</v>
      </c>
      <c r="E18">
        <v>400</v>
      </c>
      <c r="F18" t="s">
        <v>18</v>
      </c>
      <c r="G18">
        <v>400</v>
      </c>
      <c r="H18">
        <v>35</v>
      </c>
      <c r="I18">
        <v>14000</v>
      </c>
      <c r="J18">
        <v>5.3042422429595373</v>
      </c>
      <c r="K18" t="s">
        <v>16</v>
      </c>
      <c r="L18">
        <f t="shared" si="0"/>
        <v>1</v>
      </c>
    </row>
    <row r="19" spans="1:12" x14ac:dyDescent="0.25">
      <c r="A19">
        <v>15</v>
      </c>
      <c r="B19" t="s">
        <v>50</v>
      </c>
      <c r="C19" t="s">
        <v>15</v>
      </c>
      <c r="D19" t="s">
        <v>49</v>
      </c>
      <c r="E19">
        <v>500</v>
      </c>
      <c r="F19" t="s">
        <v>18</v>
      </c>
      <c r="G19">
        <v>350</v>
      </c>
      <c r="H19">
        <v>20</v>
      </c>
      <c r="I19">
        <v>10000</v>
      </c>
      <c r="J19">
        <v>3.524756431632238</v>
      </c>
      <c r="K19" t="s">
        <v>16</v>
      </c>
      <c r="L19">
        <f t="shared" si="0"/>
        <v>0.7</v>
      </c>
    </row>
    <row r="20" spans="1:12" x14ac:dyDescent="0.25">
      <c r="A20">
        <v>2</v>
      </c>
      <c r="B20" t="s">
        <v>52</v>
      </c>
      <c r="C20" t="s">
        <v>30</v>
      </c>
      <c r="D20" t="s">
        <v>51</v>
      </c>
      <c r="E20">
        <v>475</v>
      </c>
      <c r="F20" t="s">
        <v>18</v>
      </c>
      <c r="G20">
        <v>400</v>
      </c>
      <c r="H20">
        <v>46</v>
      </c>
      <c r="I20">
        <v>21850</v>
      </c>
      <c r="J20">
        <v>7.3638900372842313</v>
      </c>
      <c r="K20" t="s">
        <v>16</v>
      </c>
      <c r="L20">
        <f t="shared" si="0"/>
        <v>0.84210526315789469</v>
      </c>
    </row>
    <row r="21" spans="1:12" x14ac:dyDescent="0.25">
      <c r="A21">
        <v>3</v>
      </c>
      <c r="B21" t="s">
        <v>54</v>
      </c>
      <c r="C21" t="s">
        <v>30</v>
      </c>
      <c r="D21" t="s">
        <v>53</v>
      </c>
      <c r="E21">
        <v>380</v>
      </c>
      <c r="F21" t="s">
        <v>18</v>
      </c>
      <c r="G21">
        <v>350</v>
      </c>
      <c r="H21">
        <v>40</v>
      </c>
      <c r="I21">
        <v>15200</v>
      </c>
      <c r="J21">
        <v>7.9368437102970626</v>
      </c>
      <c r="K21" t="s">
        <v>16</v>
      </c>
      <c r="L21">
        <f t="shared" si="0"/>
        <v>0.92105263157894735</v>
      </c>
    </row>
    <row r="22" spans="1:12" x14ac:dyDescent="0.25">
      <c r="A22">
        <v>3</v>
      </c>
      <c r="B22" t="s">
        <v>54</v>
      </c>
      <c r="C22" t="s">
        <v>30</v>
      </c>
      <c r="D22" t="s">
        <v>56</v>
      </c>
      <c r="E22">
        <v>360</v>
      </c>
      <c r="F22" t="s">
        <v>19</v>
      </c>
      <c r="G22">
        <v>350</v>
      </c>
      <c r="H22">
        <v>20</v>
      </c>
      <c r="I22">
        <v>7200</v>
      </c>
      <c r="J22">
        <v>8.4177793420835698</v>
      </c>
      <c r="K22" t="s">
        <v>16</v>
      </c>
      <c r="L22">
        <f t="shared" si="0"/>
        <v>0.97222222222222221</v>
      </c>
    </row>
    <row r="23" spans="1:12" x14ac:dyDescent="0.25">
      <c r="A23">
        <v>5</v>
      </c>
      <c r="B23" t="s">
        <v>58</v>
      </c>
      <c r="C23" t="s">
        <v>30</v>
      </c>
      <c r="D23" t="s">
        <v>57</v>
      </c>
      <c r="E23">
        <v>395</v>
      </c>
      <c r="F23" t="s">
        <v>18</v>
      </c>
      <c r="G23">
        <v>350</v>
      </c>
      <c r="H23">
        <v>25</v>
      </c>
      <c r="I23">
        <v>9875</v>
      </c>
      <c r="J23">
        <v>6.2092407909780629</v>
      </c>
      <c r="K23" t="s">
        <v>16</v>
      </c>
      <c r="L23">
        <f t="shared" si="0"/>
        <v>0.88607594936708856</v>
      </c>
    </row>
    <row r="24" spans="1:12" x14ac:dyDescent="0.25">
      <c r="A24">
        <v>9</v>
      </c>
      <c r="B24" t="s">
        <v>60</v>
      </c>
      <c r="C24" t="s">
        <v>15</v>
      </c>
      <c r="D24" t="s">
        <v>59</v>
      </c>
      <c r="E24">
        <v>600</v>
      </c>
      <c r="F24" t="s">
        <v>18</v>
      </c>
      <c r="G24">
        <v>400</v>
      </c>
      <c r="H24">
        <v>50</v>
      </c>
      <c r="I24">
        <v>30000</v>
      </c>
      <c r="J24">
        <v>5.7921446485352179</v>
      </c>
      <c r="K24" t="s">
        <v>16</v>
      </c>
      <c r="L24">
        <f t="shared" si="0"/>
        <v>0.66666666666666663</v>
      </c>
    </row>
    <row r="25" spans="1:12" x14ac:dyDescent="0.25">
      <c r="A25">
        <v>11</v>
      </c>
      <c r="B25" t="s">
        <v>63</v>
      </c>
      <c r="C25" t="s">
        <v>15</v>
      </c>
      <c r="D25" t="s">
        <v>62</v>
      </c>
      <c r="E25">
        <v>100</v>
      </c>
      <c r="F25" t="s">
        <v>19</v>
      </c>
      <c r="G25">
        <v>350</v>
      </c>
      <c r="H25">
        <v>15</v>
      </c>
      <c r="I25">
        <v>1500</v>
      </c>
      <c r="J25">
        <v>37.327236865873843</v>
      </c>
      <c r="K25" t="s">
        <v>16</v>
      </c>
      <c r="L25">
        <f t="shared" si="0"/>
        <v>3.5</v>
      </c>
    </row>
    <row r="26" spans="1:12" x14ac:dyDescent="0.25">
      <c r="A26">
        <v>12</v>
      </c>
      <c r="B26" t="s">
        <v>66</v>
      </c>
      <c r="C26" t="s">
        <v>15</v>
      </c>
      <c r="D26" t="s">
        <v>65</v>
      </c>
      <c r="E26">
        <v>2700</v>
      </c>
      <c r="F26" t="s">
        <v>19</v>
      </c>
      <c r="G26">
        <v>1000</v>
      </c>
      <c r="H26">
        <v>13</v>
      </c>
      <c r="I26">
        <v>35100</v>
      </c>
      <c r="J26">
        <v>1.4560699842170359</v>
      </c>
      <c r="K26" t="s">
        <v>16</v>
      </c>
      <c r="L26">
        <f t="shared" si="0"/>
        <v>0.37037037037037035</v>
      </c>
    </row>
    <row r="27" spans="1:12" x14ac:dyDescent="0.25">
      <c r="A27">
        <v>13</v>
      </c>
      <c r="B27" t="s">
        <v>69</v>
      </c>
      <c r="C27" t="s">
        <v>15</v>
      </c>
      <c r="D27" t="s">
        <v>68</v>
      </c>
      <c r="E27">
        <v>2000</v>
      </c>
      <c r="F27" t="s">
        <v>19</v>
      </c>
      <c r="G27">
        <v>2000</v>
      </c>
      <c r="H27">
        <v>18</v>
      </c>
      <c r="I27">
        <v>36000</v>
      </c>
      <c r="J27">
        <v>3.6777639420895198</v>
      </c>
      <c r="K27" t="s">
        <v>16</v>
      </c>
      <c r="L27">
        <f t="shared" si="0"/>
        <v>1</v>
      </c>
    </row>
    <row r="28" spans="1:12" x14ac:dyDescent="0.25">
      <c r="A28">
        <v>20</v>
      </c>
      <c r="B28" t="s">
        <v>72</v>
      </c>
      <c r="C28" t="s">
        <v>73</v>
      </c>
      <c r="D28" t="s">
        <v>70</v>
      </c>
      <c r="E28">
        <v>2000</v>
      </c>
      <c r="F28" t="s">
        <v>71</v>
      </c>
      <c r="G28">
        <v>2000</v>
      </c>
      <c r="H28">
        <v>15</v>
      </c>
      <c r="I28">
        <v>30000</v>
      </c>
      <c r="J28">
        <v>3.2995106732375401</v>
      </c>
      <c r="K28" t="s">
        <v>74</v>
      </c>
      <c r="L28">
        <f t="shared" si="0"/>
        <v>1</v>
      </c>
    </row>
    <row r="29" spans="1:12" x14ac:dyDescent="0.25">
      <c r="A29">
        <v>36</v>
      </c>
      <c r="B29" t="s">
        <v>79</v>
      </c>
      <c r="C29" t="s">
        <v>73</v>
      </c>
      <c r="D29" t="s">
        <v>70</v>
      </c>
      <c r="E29">
        <v>4000</v>
      </c>
      <c r="F29" t="s">
        <v>71</v>
      </c>
      <c r="G29">
        <v>500</v>
      </c>
      <c r="H29">
        <v>15</v>
      </c>
      <c r="I29">
        <v>60000</v>
      </c>
      <c r="J29">
        <v>2.5142344384136122</v>
      </c>
      <c r="K29" t="s">
        <v>78</v>
      </c>
      <c r="L29">
        <f t="shared" si="0"/>
        <v>0.125</v>
      </c>
    </row>
    <row r="30" spans="1:12" x14ac:dyDescent="0.25">
      <c r="A30">
        <v>36</v>
      </c>
      <c r="B30" t="s">
        <v>79</v>
      </c>
      <c r="C30" t="s">
        <v>73</v>
      </c>
      <c r="D30" t="s">
        <v>81</v>
      </c>
      <c r="E30">
        <v>4000</v>
      </c>
      <c r="F30" t="s">
        <v>71</v>
      </c>
      <c r="G30">
        <v>500</v>
      </c>
      <c r="H30">
        <v>10</v>
      </c>
      <c r="I30">
        <v>40000</v>
      </c>
      <c r="J30">
        <v>2.592414568862043</v>
      </c>
      <c r="K30" t="s">
        <v>78</v>
      </c>
      <c r="L30">
        <f t="shared" si="0"/>
        <v>0.125</v>
      </c>
    </row>
    <row r="31" spans="1:12" x14ac:dyDescent="0.25">
      <c r="A31">
        <v>35</v>
      </c>
      <c r="B31" t="s">
        <v>83</v>
      </c>
      <c r="C31" t="s">
        <v>73</v>
      </c>
      <c r="D31" t="s">
        <v>82</v>
      </c>
      <c r="E31">
        <v>5000</v>
      </c>
      <c r="F31" t="s">
        <v>71</v>
      </c>
      <c r="G31">
        <v>2000</v>
      </c>
      <c r="H31">
        <v>10</v>
      </c>
      <c r="I31">
        <v>50000</v>
      </c>
      <c r="J31">
        <v>2.0464504127199978</v>
      </c>
      <c r="K31" t="s">
        <v>78</v>
      </c>
      <c r="L31">
        <f t="shared" si="0"/>
        <v>0.4</v>
      </c>
    </row>
    <row r="32" spans="1:12" x14ac:dyDescent="0.25">
      <c r="A32">
        <v>35</v>
      </c>
      <c r="B32" t="s">
        <v>83</v>
      </c>
      <c r="C32" t="s">
        <v>73</v>
      </c>
      <c r="D32" t="s">
        <v>84</v>
      </c>
      <c r="E32">
        <v>5000</v>
      </c>
      <c r="F32" t="s">
        <v>71</v>
      </c>
      <c r="G32">
        <v>2000</v>
      </c>
      <c r="H32">
        <v>14</v>
      </c>
      <c r="I32">
        <v>70000</v>
      </c>
      <c r="J32">
        <v>2.6075448519014381</v>
      </c>
      <c r="K32" t="s">
        <v>78</v>
      </c>
      <c r="L32">
        <f t="shared" si="0"/>
        <v>0.4</v>
      </c>
    </row>
    <row r="33" spans="1:12" x14ac:dyDescent="0.25">
      <c r="A33">
        <v>35</v>
      </c>
      <c r="B33" t="s">
        <v>83</v>
      </c>
      <c r="C33" t="s">
        <v>73</v>
      </c>
      <c r="D33" t="s">
        <v>85</v>
      </c>
      <c r="E33">
        <v>5000</v>
      </c>
      <c r="F33" t="s">
        <v>71</v>
      </c>
      <c r="G33">
        <v>2000</v>
      </c>
      <c r="H33">
        <v>6</v>
      </c>
      <c r="I33">
        <v>30000</v>
      </c>
      <c r="J33">
        <v>2.170524123687291</v>
      </c>
      <c r="K33" t="s">
        <v>78</v>
      </c>
      <c r="L33">
        <f t="shared" si="0"/>
        <v>0.4</v>
      </c>
    </row>
    <row r="34" spans="1:12" x14ac:dyDescent="0.25">
      <c r="A34">
        <v>28</v>
      </c>
      <c r="B34" t="s">
        <v>86</v>
      </c>
      <c r="C34" t="s">
        <v>73</v>
      </c>
      <c r="D34" t="s">
        <v>82</v>
      </c>
      <c r="E34">
        <v>3200</v>
      </c>
      <c r="F34" t="s">
        <v>71</v>
      </c>
      <c r="G34">
        <v>1600</v>
      </c>
      <c r="H34">
        <v>10</v>
      </c>
      <c r="I34">
        <v>32000</v>
      </c>
      <c r="J34">
        <v>5.0975773894779186</v>
      </c>
      <c r="K34" t="s">
        <v>74</v>
      </c>
      <c r="L34">
        <f t="shared" si="0"/>
        <v>0.5</v>
      </c>
    </row>
    <row r="35" spans="1:12" x14ac:dyDescent="0.25">
      <c r="A35">
        <v>28</v>
      </c>
      <c r="B35" t="s">
        <v>86</v>
      </c>
      <c r="C35" t="s">
        <v>73</v>
      </c>
      <c r="D35" t="s">
        <v>89</v>
      </c>
      <c r="E35">
        <v>4000</v>
      </c>
      <c r="F35" t="s">
        <v>76</v>
      </c>
      <c r="G35">
        <v>2000</v>
      </c>
      <c r="H35">
        <v>0.6</v>
      </c>
      <c r="I35">
        <v>2400</v>
      </c>
      <c r="J35">
        <v>6.4233283058800001</v>
      </c>
      <c r="K35" t="s">
        <v>74</v>
      </c>
      <c r="L35">
        <f t="shared" si="0"/>
        <v>0.5</v>
      </c>
    </row>
    <row r="36" spans="1:12" x14ac:dyDescent="0.25">
      <c r="A36">
        <v>28</v>
      </c>
      <c r="B36" t="s">
        <v>86</v>
      </c>
      <c r="C36" t="s">
        <v>73</v>
      </c>
      <c r="D36" t="s">
        <v>90</v>
      </c>
      <c r="E36">
        <v>3600</v>
      </c>
      <c r="F36" t="s">
        <v>77</v>
      </c>
      <c r="G36">
        <v>2200</v>
      </c>
      <c r="H36">
        <v>0.3</v>
      </c>
      <c r="I36">
        <v>1080</v>
      </c>
      <c r="J36">
        <v>7.7381376595342068</v>
      </c>
      <c r="K36" t="s">
        <v>78</v>
      </c>
      <c r="L36">
        <f t="shared" si="0"/>
        <v>0.61111111111111116</v>
      </c>
    </row>
    <row r="37" spans="1:12" x14ac:dyDescent="0.25">
      <c r="A37">
        <v>21</v>
      </c>
      <c r="B37" t="s">
        <v>91</v>
      </c>
      <c r="C37" t="s">
        <v>73</v>
      </c>
      <c r="D37" t="s">
        <v>84</v>
      </c>
      <c r="E37">
        <v>2400</v>
      </c>
      <c r="F37" t="s">
        <v>71</v>
      </c>
      <c r="G37">
        <v>2000</v>
      </c>
      <c r="H37">
        <v>14</v>
      </c>
      <c r="I37">
        <v>33600</v>
      </c>
      <c r="J37">
        <v>7.0209933702911531</v>
      </c>
      <c r="K37" t="s">
        <v>74</v>
      </c>
      <c r="L37">
        <f t="shared" si="0"/>
        <v>0.83333333333333337</v>
      </c>
    </row>
    <row r="38" spans="1:12" x14ac:dyDescent="0.25">
      <c r="A38">
        <v>21</v>
      </c>
      <c r="B38" t="s">
        <v>91</v>
      </c>
      <c r="C38" t="s">
        <v>73</v>
      </c>
      <c r="D38" t="s">
        <v>94</v>
      </c>
      <c r="E38">
        <v>3000</v>
      </c>
      <c r="F38" t="s">
        <v>76</v>
      </c>
      <c r="G38">
        <v>2400</v>
      </c>
      <c r="H38">
        <v>0.6</v>
      </c>
      <c r="I38">
        <v>1800</v>
      </c>
      <c r="J38">
        <v>5.7615344229334262</v>
      </c>
      <c r="K38" t="s">
        <v>74</v>
      </c>
      <c r="L38">
        <f t="shared" si="0"/>
        <v>0.8</v>
      </c>
    </row>
    <row r="39" spans="1:12" x14ac:dyDescent="0.25">
      <c r="A39">
        <v>21</v>
      </c>
      <c r="B39" t="s">
        <v>91</v>
      </c>
      <c r="C39" t="s">
        <v>73</v>
      </c>
      <c r="D39" t="s">
        <v>95</v>
      </c>
      <c r="E39">
        <v>2700</v>
      </c>
      <c r="F39" t="s">
        <v>77</v>
      </c>
      <c r="G39">
        <v>2640</v>
      </c>
      <c r="H39">
        <v>0.3</v>
      </c>
      <c r="I39">
        <v>810</v>
      </c>
      <c r="J39">
        <v>6.2930163420191514</v>
      </c>
      <c r="K39" t="s">
        <v>78</v>
      </c>
      <c r="L39">
        <f t="shared" si="0"/>
        <v>0.97777777777777775</v>
      </c>
    </row>
    <row r="40" spans="1:12" x14ac:dyDescent="0.25">
      <c r="A40">
        <v>22</v>
      </c>
      <c r="B40" t="s">
        <v>96</v>
      </c>
      <c r="C40" t="s">
        <v>73</v>
      </c>
      <c r="D40" t="s">
        <v>85</v>
      </c>
      <c r="E40">
        <v>6400</v>
      </c>
      <c r="F40" t="s">
        <v>71</v>
      </c>
      <c r="G40">
        <v>2000</v>
      </c>
      <c r="H40">
        <v>6</v>
      </c>
      <c r="I40">
        <v>38400</v>
      </c>
      <c r="J40">
        <v>5.6842330265121568</v>
      </c>
      <c r="K40" t="s">
        <v>74</v>
      </c>
      <c r="L40">
        <f t="shared" si="0"/>
        <v>0.3125</v>
      </c>
    </row>
    <row r="41" spans="1:12" x14ac:dyDescent="0.25">
      <c r="A41">
        <v>22</v>
      </c>
      <c r="B41" t="s">
        <v>96</v>
      </c>
      <c r="C41" t="s">
        <v>73</v>
      </c>
      <c r="D41" t="s">
        <v>98</v>
      </c>
      <c r="E41">
        <v>8000</v>
      </c>
      <c r="F41" t="s">
        <v>76</v>
      </c>
      <c r="G41">
        <v>2400</v>
      </c>
      <c r="H41">
        <v>0.6</v>
      </c>
      <c r="I41">
        <v>4800</v>
      </c>
      <c r="J41">
        <v>5.4401524937396024</v>
      </c>
      <c r="K41" t="s">
        <v>74</v>
      </c>
      <c r="L41">
        <f t="shared" si="0"/>
        <v>0.3</v>
      </c>
    </row>
    <row r="42" spans="1:12" x14ac:dyDescent="0.25">
      <c r="A42">
        <v>22</v>
      </c>
      <c r="B42" t="s">
        <v>96</v>
      </c>
      <c r="C42" t="s">
        <v>73</v>
      </c>
      <c r="D42" t="s">
        <v>99</v>
      </c>
      <c r="E42">
        <v>7200</v>
      </c>
      <c r="F42" t="s">
        <v>77</v>
      </c>
      <c r="G42">
        <v>2640</v>
      </c>
      <c r="H42">
        <v>0.3</v>
      </c>
      <c r="I42">
        <v>2160</v>
      </c>
      <c r="J42">
        <v>6.1464458818137349</v>
      </c>
      <c r="K42" t="s">
        <v>78</v>
      </c>
      <c r="L42">
        <f t="shared" si="0"/>
        <v>0.36666666666666664</v>
      </c>
    </row>
    <row r="43" spans="1:12" x14ac:dyDescent="0.25">
      <c r="A43">
        <v>17</v>
      </c>
      <c r="B43" t="s">
        <v>100</v>
      </c>
      <c r="C43" t="s">
        <v>101</v>
      </c>
      <c r="D43" t="s">
        <v>81</v>
      </c>
      <c r="E43">
        <v>3000</v>
      </c>
      <c r="F43" t="s">
        <v>71</v>
      </c>
      <c r="G43">
        <v>2000</v>
      </c>
      <c r="H43">
        <v>10</v>
      </c>
      <c r="I43">
        <v>30000</v>
      </c>
      <c r="J43">
        <v>7.9903538202225404</v>
      </c>
      <c r="K43" t="s">
        <v>74</v>
      </c>
      <c r="L43">
        <f t="shared" si="0"/>
        <v>0.66666666666666663</v>
      </c>
    </row>
    <row r="44" spans="1:12" x14ac:dyDescent="0.25">
      <c r="A44">
        <v>17</v>
      </c>
      <c r="B44" t="s">
        <v>100</v>
      </c>
      <c r="C44" t="s">
        <v>101</v>
      </c>
      <c r="D44" t="s">
        <v>104</v>
      </c>
      <c r="E44">
        <v>3600</v>
      </c>
      <c r="F44" t="s">
        <v>76</v>
      </c>
      <c r="G44">
        <v>2400</v>
      </c>
      <c r="H44">
        <v>0.6</v>
      </c>
      <c r="I44">
        <v>2160</v>
      </c>
      <c r="J44">
        <v>7.0687770422304368</v>
      </c>
      <c r="K44" t="s">
        <v>74</v>
      </c>
      <c r="L44">
        <f t="shared" si="0"/>
        <v>0.66666666666666663</v>
      </c>
    </row>
    <row r="45" spans="1:12" x14ac:dyDescent="0.25">
      <c r="A45">
        <v>17</v>
      </c>
      <c r="B45" t="s">
        <v>100</v>
      </c>
      <c r="C45" t="s">
        <v>101</v>
      </c>
      <c r="D45" t="s">
        <v>105</v>
      </c>
      <c r="E45">
        <v>3600</v>
      </c>
      <c r="F45" t="s">
        <v>76</v>
      </c>
      <c r="G45">
        <v>2400</v>
      </c>
      <c r="H45">
        <v>0.6</v>
      </c>
      <c r="I45">
        <v>2160</v>
      </c>
      <c r="J45">
        <v>8.8186408041575639</v>
      </c>
      <c r="K45" t="s">
        <v>74</v>
      </c>
      <c r="L45">
        <f t="shared" si="0"/>
        <v>0.66666666666666663</v>
      </c>
    </row>
    <row r="46" spans="1:12" x14ac:dyDescent="0.25">
      <c r="A46">
        <v>17</v>
      </c>
      <c r="B46" t="s">
        <v>100</v>
      </c>
      <c r="C46" t="s">
        <v>101</v>
      </c>
      <c r="D46" t="s">
        <v>90</v>
      </c>
      <c r="E46">
        <v>3200</v>
      </c>
      <c r="F46" t="s">
        <v>77</v>
      </c>
      <c r="G46">
        <v>2640</v>
      </c>
      <c r="H46">
        <v>0.6</v>
      </c>
      <c r="I46">
        <v>1920</v>
      </c>
      <c r="J46">
        <v>9.021071955840041</v>
      </c>
      <c r="K46" t="s">
        <v>74</v>
      </c>
      <c r="L46">
        <f t="shared" si="0"/>
        <v>0.82499999999999996</v>
      </c>
    </row>
    <row r="47" spans="1:12" x14ac:dyDescent="0.25">
      <c r="A47">
        <v>18</v>
      </c>
      <c r="B47" t="s">
        <v>107</v>
      </c>
      <c r="C47" t="s">
        <v>101</v>
      </c>
      <c r="D47" t="s">
        <v>106</v>
      </c>
      <c r="E47">
        <v>2000</v>
      </c>
      <c r="F47" t="s">
        <v>71</v>
      </c>
      <c r="G47">
        <v>1000</v>
      </c>
      <c r="H47">
        <v>12</v>
      </c>
      <c r="I47">
        <v>24000</v>
      </c>
      <c r="J47">
        <v>7.156305710884955</v>
      </c>
      <c r="K47" t="s">
        <v>74</v>
      </c>
      <c r="L47">
        <f t="shared" si="0"/>
        <v>0.5</v>
      </c>
    </row>
    <row r="48" spans="1:12" x14ac:dyDescent="0.25">
      <c r="A48">
        <v>18</v>
      </c>
      <c r="B48" t="s">
        <v>107</v>
      </c>
      <c r="C48" t="s">
        <v>101</v>
      </c>
      <c r="D48" t="s">
        <v>109</v>
      </c>
      <c r="E48">
        <v>2400</v>
      </c>
      <c r="F48" t="s">
        <v>76</v>
      </c>
      <c r="G48">
        <v>1200</v>
      </c>
      <c r="H48">
        <v>0.6</v>
      </c>
      <c r="I48">
        <v>1440</v>
      </c>
      <c r="J48">
        <v>6.2792776902235277</v>
      </c>
      <c r="K48" t="s">
        <v>74</v>
      </c>
      <c r="L48">
        <f t="shared" si="0"/>
        <v>0.5</v>
      </c>
    </row>
    <row r="49" spans="1:12" x14ac:dyDescent="0.25">
      <c r="A49">
        <v>18</v>
      </c>
      <c r="B49" t="s">
        <v>107</v>
      </c>
      <c r="C49" t="s">
        <v>101</v>
      </c>
      <c r="D49" t="s">
        <v>110</v>
      </c>
      <c r="E49">
        <v>2400</v>
      </c>
      <c r="F49" t="s">
        <v>76</v>
      </c>
      <c r="G49">
        <v>1200</v>
      </c>
      <c r="H49">
        <v>0.6</v>
      </c>
      <c r="I49">
        <v>1440</v>
      </c>
      <c r="J49">
        <v>6.8001700529445266</v>
      </c>
      <c r="K49" t="s">
        <v>74</v>
      </c>
      <c r="L49">
        <f t="shared" si="0"/>
        <v>0.5</v>
      </c>
    </row>
    <row r="50" spans="1:12" x14ac:dyDescent="0.25">
      <c r="A50">
        <v>37</v>
      </c>
      <c r="B50" t="s">
        <v>111</v>
      </c>
      <c r="C50" t="s">
        <v>73</v>
      </c>
      <c r="D50" t="s">
        <v>106</v>
      </c>
      <c r="E50">
        <v>3000</v>
      </c>
      <c r="F50" t="s">
        <v>71</v>
      </c>
      <c r="G50">
        <v>500</v>
      </c>
      <c r="H50">
        <v>12</v>
      </c>
      <c r="I50">
        <v>36000</v>
      </c>
      <c r="J50">
        <v>3.3200654190149188</v>
      </c>
      <c r="K50" t="s">
        <v>78</v>
      </c>
      <c r="L50">
        <f t="shared" si="0"/>
        <v>0.16666666666666666</v>
      </c>
    </row>
    <row r="51" spans="1:12" x14ac:dyDescent="0.25">
      <c r="A51">
        <v>16</v>
      </c>
      <c r="B51" t="s">
        <v>113</v>
      </c>
      <c r="C51" t="s">
        <v>15</v>
      </c>
      <c r="D51" t="s">
        <v>112</v>
      </c>
      <c r="E51">
        <v>500</v>
      </c>
      <c r="F51" t="s">
        <v>71</v>
      </c>
      <c r="G51">
        <v>680</v>
      </c>
      <c r="H51">
        <v>22</v>
      </c>
      <c r="I51">
        <v>11000</v>
      </c>
      <c r="J51">
        <v>6.3697089110510543</v>
      </c>
      <c r="K51" t="s">
        <v>16</v>
      </c>
      <c r="L51">
        <f t="shared" si="0"/>
        <v>1.36</v>
      </c>
    </row>
    <row r="52" spans="1:12" x14ac:dyDescent="0.25">
      <c r="A52">
        <v>16</v>
      </c>
      <c r="B52" t="s">
        <v>113</v>
      </c>
      <c r="C52" t="s">
        <v>15</v>
      </c>
      <c r="D52" t="s">
        <v>114</v>
      </c>
      <c r="E52">
        <v>500</v>
      </c>
      <c r="F52" t="s">
        <v>71</v>
      </c>
      <c r="G52">
        <v>680</v>
      </c>
      <c r="H52">
        <v>20</v>
      </c>
      <c r="I52">
        <v>10000</v>
      </c>
      <c r="J52">
        <v>7.9391692555291176</v>
      </c>
      <c r="K52" t="s">
        <v>16</v>
      </c>
      <c r="L52">
        <f t="shared" si="0"/>
        <v>1.36</v>
      </c>
    </row>
    <row r="53" spans="1:12" x14ac:dyDescent="0.25">
      <c r="A53">
        <v>38</v>
      </c>
      <c r="B53" t="s">
        <v>115</v>
      </c>
      <c r="C53" t="s">
        <v>116</v>
      </c>
      <c r="D53" t="s">
        <v>109</v>
      </c>
      <c r="E53">
        <v>5000</v>
      </c>
      <c r="F53" t="s">
        <v>76</v>
      </c>
      <c r="G53">
        <v>3000</v>
      </c>
      <c r="H53">
        <v>0.6</v>
      </c>
      <c r="I53">
        <v>3000</v>
      </c>
      <c r="J53">
        <v>61.626992350416707</v>
      </c>
      <c r="K53" t="s">
        <v>78</v>
      </c>
      <c r="L53">
        <f t="shared" si="0"/>
        <v>0.6</v>
      </c>
    </row>
    <row r="54" spans="1:12" x14ac:dyDescent="0.25">
      <c r="A54">
        <v>38</v>
      </c>
      <c r="B54" t="s">
        <v>115</v>
      </c>
      <c r="C54" t="s">
        <v>116</v>
      </c>
      <c r="D54" t="s">
        <v>118</v>
      </c>
      <c r="E54">
        <v>5000</v>
      </c>
      <c r="F54" t="s">
        <v>76</v>
      </c>
      <c r="G54">
        <v>3000</v>
      </c>
      <c r="H54">
        <v>0.6</v>
      </c>
      <c r="I54">
        <v>3000</v>
      </c>
      <c r="J54">
        <v>64.092484123462839</v>
      </c>
      <c r="K54" t="s">
        <v>78</v>
      </c>
      <c r="L54">
        <f t="shared" si="0"/>
        <v>0.6</v>
      </c>
    </row>
    <row r="55" spans="1:12" x14ac:dyDescent="0.25">
      <c r="A55">
        <v>38</v>
      </c>
      <c r="B55" t="s">
        <v>115</v>
      </c>
      <c r="C55" t="s">
        <v>116</v>
      </c>
      <c r="D55" t="s">
        <v>119</v>
      </c>
      <c r="E55">
        <v>5000</v>
      </c>
      <c r="F55" t="s">
        <v>76</v>
      </c>
      <c r="G55">
        <v>3000</v>
      </c>
      <c r="H55">
        <v>0.6</v>
      </c>
      <c r="I55">
        <v>3000</v>
      </c>
      <c r="J55">
        <v>63.422410256414743</v>
      </c>
      <c r="K55" t="s">
        <v>78</v>
      </c>
      <c r="L55">
        <f t="shared" si="0"/>
        <v>0.6</v>
      </c>
    </row>
    <row r="56" spans="1:12" x14ac:dyDescent="0.25">
      <c r="A56">
        <v>41</v>
      </c>
      <c r="B56" t="s">
        <v>120</v>
      </c>
      <c r="C56" t="s">
        <v>116</v>
      </c>
      <c r="D56" t="s">
        <v>104</v>
      </c>
      <c r="E56">
        <v>1000</v>
      </c>
      <c r="F56" t="s">
        <v>76</v>
      </c>
      <c r="G56">
        <v>10000</v>
      </c>
      <c r="H56">
        <v>0.6</v>
      </c>
      <c r="I56">
        <v>600</v>
      </c>
      <c r="J56">
        <v>103.9159991524434</v>
      </c>
      <c r="K56" t="s">
        <v>78</v>
      </c>
      <c r="L56">
        <f t="shared" si="0"/>
        <v>10</v>
      </c>
    </row>
    <row r="57" spans="1:12" x14ac:dyDescent="0.25">
      <c r="A57">
        <v>41</v>
      </c>
      <c r="B57" t="s">
        <v>120</v>
      </c>
      <c r="C57" t="s">
        <v>116</v>
      </c>
      <c r="D57" t="s">
        <v>105</v>
      </c>
      <c r="E57">
        <v>1000</v>
      </c>
      <c r="F57" t="s">
        <v>76</v>
      </c>
      <c r="G57">
        <v>10000</v>
      </c>
      <c r="H57">
        <v>0.6</v>
      </c>
      <c r="I57">
        <v>600</v>
      </c>
      <c r="J57">
        <v>116.8749694009247</v>
      </c>
      <c r="K57" t="s">
        <v>78</v>
      </c>
      <c r="L57">
        <f t="shared" si="0"/>
        <v>10</v>
      </c>
    </row>
    <row r="58" spans="1:12" x14ac:dyDescent="0.25">
      <c r="A58">
        <v>41</v>
      </c>
      <c r="B58" t="s">
        <v>120</v>
      </c>
      <c r="C58" t="s">
        <v>116</v>
      </c>
      <c r="D58" t="s">
        <v>98</v>
      </c>
      <c r="E58">
        <v>1000</v>
      </c>
      <c r="F58" t="s">
        <v>76</v>
      </c>
      <c r="G58">
        <v>10000</v>
      </c>
      <c r="H58">
        <v>0.6</v>
      </c>
      <c r="I58">
        <v>600</v>
      </c>
      <c r="J58">
        <v>83.539700082076777</v>
      </c>
      <c r="K58" t="s">
        <v>78</v>
      </c>
      <c r="L58">
        <f t="shared" si="0"/>
        <v>10</v>
      </c>
    </row>
    <row r="59" spans="1:12" x14ac:dyDescent="0.25">
      <c r="A59">
        <v>41</v>
      </c>
      <c r="B59" t="s">
        <v>120</v>
      </c>
      <c r="C59" t="s">
        <v>116</v>
      </c>
      <c r="D59" t="s">
        <v>94</v>
      </c>
      <c r="E59">
        <v>1000</v>
      </c>
      <c r="F59" t="s">
        <v>76</v>
      </c>
      <c r="G59">
        <v>10000</v>
      </c>
      <c r="H59">
        <v>0.6</v>
      </c>
      <c r="I59">
        <v>600</v>
      </c>
      <c r="J59">
        <v>87.839314496765809</v>
      </c>
      <c r="K59" t="s">
        <v>78</v>
      </c>
      <c r="L59">
        <f t="shared" si="0"/>
        <v>10</v>
      </c>
    </row>
    <row r="60" spans="1:12" x14ac:dyDescent="0.25">
      <c r="A60">
        <v>41</v>
      </c>
      <c r="B60" t="s">
        <v>120</v>
      </c>
      <c r="C60" t="s">
        <v>116</v>
      </c>
      <c r="D60" t="s">
        <v>122</v>
      </c>
      <c r="E60">
        <v>1000</v>
      </c>
      <c r="F60" t="s">
        <v>76</v>
      </c>
      <c r="G60">
        <v>10000</v>
      </c>
      <c r="H60">
        <v>0.6</v>
      </c>
      <c r="I60">
        <v>600</v>
      </c>
      <c r="J60">
        <v>81.809091556421521</v>
      </c>
      <c r="K60" t="s">
        <v>78</v>
      </c>
      <c r="L60">
        <f t="shared" si="0"/>
        <v>10</v>
      </c>
    </row>
    <row r="61" spans="1:12" x14ac:dyDescent="0.25">
      <c r="A61">
        <v>41</v>
      </c>
      <c r="B61" t="s">
        <v>120</v>
      </c>
      <c r="C61" t="s">
        <v>116</v>
      </c>
      <c r="D61" t="s">
        <v>123</v>
      </c>
      <c r="E61">
        <v>1000</v>
      </c>
      <c r="F61" t="s">
        <v>76</v>
      </c>
      <c r="G61">
        <v>10000</v>
      </c>
      <c r="H61">
        <v>0.6</v>
      </c>
      <c r="I61">
        <v>600</v>
      </c>
      <c r="J61">
        <v>93.013213230530567</v>
      </c>
      <c r="K61" t="s">
        <v>78</v>
      </c>
      <c r="L61">
        <f t="shared" si="0"/>
        <v>10</v>
      </c>
    </row>
    <row r="62" spans="1:12" x14ac:dyDescent="0.25">
      <c r="A62">
        <v>41</v>
      </c>
      <c r="B62" t="s">
        <v>120</v>
      </c>
      <c r="C62" t="s">
        <v>116</v>
      </c>
      <c r="D62" t="s">
        <v>124</v>
      </c>
      <c r="E62">
        <v>1000</v>
      </c>
      <c r="F62" t="s">
        <v>76</v>
      </c>
      <c r="G62">
        <v>10000</v>
      </c>
      <c r="H62">
        <v>0.6</v>
      </c>
      <c r="I62">
        <v>600</v>
      </c>
      <c r="J62">
        <v>95.547091587579274</v>
      </c>
      <c r="K62" t="s">
        <v>78</v>
      </c>
      <c r="L62">
        <f t="shared" si="0"/>
        <v>10</v>
      </c>
    </row>
    <row r="63" spans="1:12" x14ac:dyDescent="0.25">
      <c r="A63">
        <v>29</v>
      </c>
      <c r="B63" t="s">
        <v>125</v>
      </c>
      <c r="C63" t="s">
        <v>73</v>
      </c>
      <c r="D63" t="s">
        <v>122</v>
      </c>
      <c r="E63">
        <v>15000</v>
      </c>
      <c r="F63" t="s">
        <v>76</v>
      </c>
      <c r="G63">
        <v>3500</v>
      </c>
      <c r="H63">
        <v>0.6</v>
      </c>
      <c r="I63">
        <v>9000</v>
      </c>
      <c r="J63">
        <v>6.5426980635477916</v>
      </c>
      <c r="K63" t="s">
        <v>74</v>
      </c>
      <c r="L63">
        <f t="shared" si="0"/>
        <v>0.23333333333333334</v>
      </c>
    </row>
    <row r="64" spans="1:12" x14ac:dyDescent="0.25">
      <c r="A64">
        <v>29</v>
      </c>
      <c r="B64" t="s">
        <v>125</v>
      </c>
      <c r="C64" t="s">
        <v>73</v>
      </c>
      <c r="D64" t="s">
        <v>99</v>
      </c>
      <c r="E64">
        <v>13500</v>
      </c>
      <c r="F64" t="s">
        <v>77</v>
      </c>
      <c r="G64">
        <v>3850</v>
      </c>
      <c r="H64">
        <v>0.3</v>
      </c>
      <c r="I64">
        <v>4050</v>
      </c>
      <c r="J64">
        <v>9.1889700219646304</v>
      </c>
      <c r="K64" t="s">
        <v>78</v>
      </c>
      <c r="L64">
        <f t="shared" si="0"/>
        <v>0.28518518518518521</v>
      </c>
    </row>
    <row r="65" spans="1:12" x14ac:dyDescent="0.25">
      <c r="A65">
        <v>27</v>
      </c>
      <c r="B65" t="s">
        <v>127</v>
      </c>
      <c r="C65" t="s">
        <v>73</v>
      </c>
      <c r="D65" t="s">
        <v>123</v>
      </c>
      <c r="E65">
        <v>5000</v>
      </c>
      <c r="F65" t="s">
        <v>76</v>
      </c>
      <c r="G65">
        <v>2000</v>
      </c>
      <c r="H65">
        <v>0.3</v>
      </c>
      <c r="I65">
        <v>1500</v>
      </c>
      <c r="J65">
        <v>4.7135066533871788</v>
      </c>
      <c r="K65" t="s">
        <v>74</v>
      </c>
      <c r="L65">
        <f t="shared" si="0"/>
        <v>0.4</v>
      </c>
    </row>
    <row r="66" spans="1:12" x14ac:dyDescent="0.25">
      <c r="A66">
        <v>27</v>
      </c>
      <c r="B66" t="s">
        <v>127</v>
      </c>
      <c r="C66" t="s">
        <v>73</v>
      </c>
      <c r="D66" t="s">
        <v>129</v>
      </c>
      <c r="E66">
        <v>5000</v>
      </c>
      <c r="F66" t="s">
        <v>76</v>
      </c>
      <c r="G66">
        <v>2000</v>
      </c>
      <c r="H66">
        <v>0.6</v>
      </c>
      <c r="I66">
        <v>3000</v>
      </c>
      <c r="J66">
        <v>4.5618690193747611</v>
      </c>
      <c r="K66" t="s">
        <v>74</v>
      </c>
      <c r="L66">
        <f t="shared" si="0"/>
        <v>0.4</v>
      </c>
    </row>
    <row r="67" spans="1:12" x14ac:dyDescent="0.25">
      <c r="A67">
        <v>31</v>
      </c>
      <c r="B67" t="s">
        <v>131</v>
      </c>
      <c r="C67" t="s">
        <v>73</v>
      </c>
      <c r="D67" t="s">
        <v>124</v>
      </c>
      <c r="E67">
        <v>2000</v>
      </c>
      <c r="F67" t="s">
        <v>76</v>
      </c>
      <c r="G67">
        <v>1200</v>
      </c>
      <c r="H67">
        <v>0.6</v>
      </c>
      <c r="I67">
        <v>1200</v>
      </c>
      <c r="J67">
        <v>7.356740207895621</v>
      </c>
      <c r="K67" t="s">
        <v>74</v>
      </c>
      <c r="L67">
        <f t="shared" ref="L67:L88" si="1">G67/E67</f>
        <v>0.6</v>
      </c>
    </row>
    <row r="68" spans="1:12" x14ac:dyDescent="0.25">
      <c r="A68">
        <v>30</v>
      </c>
      <c r="B68" t="s">
        <v>130</v>
      </c>
      <c r="C68" t="s">
        <v>73</v>
      </c>
      <c r="D68" t="s">
        <v>123</v>
      </c>
      <c r="E68">
        <v>5000</v>
      </c>
      <c r="F68" t="s">
        <v>76</v>
      </c>
      <c r="G68">
        <v>2000</v>
      </c>
      <c r="H68">
        <v>0.3</v>
      </c>
      <c r="I68">
        <v>1500</v>
      </c>
      <c r="J68">
        <v>4.7113863374621436</v>
      </c>
      <c r="K68" t="s">
        <v>74</v>
      </c>
      <c r="L68">
        <f t="shared" si="1"/>
        <v>0.4</v>
      </c>
    </row>
    <row r="69" spans="1:12" x14ac:dyDescent="0.25">
      <c r="A69">
        <v>24</v>
      </c>
      <c r="B69" t="s">
        <v>133</v>
      </c>
      <c r="C69" t="s">
        <v>73</v>
      </c>
      <c r="D69" t="s">
        <v>118</v>
      </c>
      <c r="E69">
        <v>3000</v>
      </c>
      <c r="F69" t="s">
        <v>76</v>
      </c>
      <c r="G69">
        <v>2000</v>
      </c>
      <c r="H69">
        <v>0.6</v>
      </c>
      <c r="I69">
        <v>1800</v>
      </c>
      <c r="J69">
        <v>6.0054924518850994</v>
      </c>
      <c r="K69" t="s">
        <v>74</v>
      </c>
      <c r="L69">
        <f t="shared" si="1"/>
        <v>0.66666666666666663</v>
      </c>
    </row>
    <row r="70" spans="1:12" x14ac:dyDescent="0.25">
      <c r="A70">
        <v>24</v>
      </c>
      <c r="B70" t="s">
        <v>133</v>
      </c>
      <c r="C70" t="s">
        <v>73</v>
      </c>
      <c r="D70" t="s">
        <v>95</v>
      </c>
      <c r="E70">
        <v>2700</v>
      </c>
      <c r="F70" t="s">
        <v>77</v>
      </c>
      <c r="G70">
        <v>2200</v>
      </c>
      <c r="H70">
        <v>0.3</v>
      </c>
      <c r="I70">
        <v>810</v>
      </c>
      <c r="J70">
        <v>5.9491012873595412</v>
      </c>
      <c r="K70" t="s">
        <v>78</v>
      </c>
      <c r="L70">
        <f t="shared" si="1"/>
        <v>0.81481481481481477</v>
      </c>
    </row>
    <row r="71" spans="1:12" x14ac:dyDescent="0.25">
      <c r="A71">
        <v>25</v>
      </c>
      <c r="B71" t="s">
        <v>136</v>
      </c>
      <c r="C71" t="s">
        <v>73</v>
      </c>
      <c r="D71" t="s">
        <v>119</v>
      </c>
      <c r="E71">
        <v>4000</v>
      </c>
      <c r="F71" t="s">
        <v>76</v>
      </c>
      <c r="G71">
        <v>3000</v>
      </c>
      <c r="H71">
        <v>0.6</v>
      </c>
      <c r="I71">
        <v>2400</v>
      </c>
      <c r="J71">
        <v>5.9868869366005173</v>
      </c>
      <c r="K71" t="s">
        <v>74</v>
      </c>
      <c r="L71">
        <f t="shared" si="1"/>
        <v>0.75</v>
      </c>
    </row>
    <row r="72" spans="1:12" x14ac:dyDescent="0.25">
      <c r="A72">
        <v>25</v>
      </c>
      <c r="B72" t="s">
        <v>136</v>
      </c>
      <c r="C72" t="s">
        <v>73</v>
      </c>
      <c r="D72" t="s">
        <v>99</v>
      </c>
      <c r="E72">
        <v>3600</v>
      </c>
      <c r="F72" t="s">
        <v>77</v>
      </c>
      <c r="G72">
        <v>3300</v>
      </c>
      <c r="H72">
        <v>0.3</v>
      </c>
      <c r="I72">
        <v>1080</v>
      </c>
      <c r="J72">
        <v>6.9266937231559886</v>
      </c>
      <c r="K72" t="s">
        <v>74</v>
      </c>
      <c r="L72">
        <f t="shared" si="1"/>
        <v>0.91666666666666663</v>
      </c>
    </row>
    <row r="73" spans="1:12" x14ac:dyDescent="0.25">
      <c r="A73">
        <v>39</v>
      </c>
      <c r="B73" t="s">
        <v>138</v>
      </c>
      <c r="C73" t="s">
        <v>116</v>
      </c>
      <c r="D73" t="s">
        <v>137</v>
      </c>
      <c r="E73">
        <v>4000</v>
      </c>
      <c r="F73" t="s">
        <v>76</v>
      </c>
      <c r="G73">
        <v>2000</v>
      </c>
      <c r="H73">
        <v>0.6</v>
      </c>
      <c r="I73">
        <v>2400</v>
      </c>
      <c r="J73">
        <v>18.39743136306835</v>
      </c>
      <c r="K73" t="s">
        <v>78</v>
      </c>
      <c r="L73">
        <f t="shared" si="1"/>
        <v>0.5</v>
      </c>
    </row>
    <row r="74" spans="1:12" x14ac:dyDescent="0.25">
      <c r="A74">
        <v>39</v>
      </c>
      <c r="B74" t="s">
        <v>138</v>
      </c>
      <c r="C74" t="s">
        <v>116</v>
      </c>
      <c r="D74" t="s">
        <v>89</v>
      </c>
      <c r="E74">
        <v>4000</v>
      </c>
      <c r="F74" t="s">
        <v>76</v>
      </c>
      <c r="G74">
        <v>2000</v>
      </c>
      <c r="H74">
        <v>0.6</v>
      </c>
      <c r="I74">
        <v>2400</v>
      </c>
      <c r="J74">
        <v>18.011044234247201</v>
      </c>
      <c r="K74" t="s">
        <v>78</v>
      </c>
      <c r="L74">
        <f t="shared" si="1"/>
        <v>0.5</v>
      </c>
    </row>
    <row r="75" spans="1:12" x14ac:dyDescent="0.25">
      <c r="A75">
        <v>39</v>
      </c>
      <c r="B75" t="s">
        <v>138</v>
      </c>
      <c r="C75" t="s">
        <v>116</v>
      </c>
      <c r="D75" t="s">
        <v>129</v>
      </c>
      <c r="E75">
        <v>4000</v>
      </c>
      <c r="F75" t="s">
        <v>76</v>
      </c>
      <c r="G75">
        <v>2000</v>
      </c>
      <c r="H75">
        <v>0.6</v>
      </c>
      <c r="I75">
        <v>2400</v>
      </c>
      <c r="J75">
        <v>19.63092285690967</v>
      </c>
      <c r="K75" t="s">
        <v>78</v>
      </c>
      <c r="L75">
        <f t="shared" si="1"/>
        <v>0.5</v>
      </c>
    </row>
    <row r="76" spans="1:12" x14ac:dyDescent="0.25">
      <c r="A76">
        <v>26</v>
      </c>
      <c r="B76" t="s">
        <v>140</v>
      </c>
      <c r="C76" t="s">
        <v>73</v>
      </c>
      <c r="D76" t="s">
        <v>137</v>
      </c>
      <c r="E76">
        <v>4500</v>
      </c>
      <c r="F76" t="s">
        <v>76</v>
      </c>
      <c r="G76">
        <v>3500</v>
      </c>
      <c r="H76">
        <v>0.6</v>
      </c>
      <c r="I76">
        <v>2700</v>
      </c>
      <c r="J76">
        <v>6.9137146876952347</v>
      </c>
      <c r="K76" t="s">
        <v>74</v>
      </c>
      <c r="L76">
        <f t="shared" si="1"/>
        <v>0.77777777777777779</v>
      </c>
    </row>
    <row r="77" spans="1:12" x14ac:dyDescent="0.25">
      <c r="A77">
        <v>26</v>
      </c>
      <c r="B77" t="s">
        <v>140</v>
      </c>
      <c r="C77" t="s">
        <v>73</v>
      </c>
      <c r="D77" t="s">
        <v>99</v>
      </c>
      <c r="E77">
        <v>4100</v>
      </c>
      <c r="F77" t="s">
        <v>77</v>
      </c>
      <c r="G77">
        <v>3850</v>
      </c>
      <c r="H77">
        <v>0.3</v>
      </c>
      <c r="I77">
        <v>1230</v>
      </c>
      <c r="J77">
        <v>8.3496172032983687</v>
      </c>
      <c r="K77" t="s">
        <v>74</v>
      </c>
      <c r="L77">
        <f t="shared" si="1"/>
        <v>0.93902439024390238</v>
      </c>
    </row>
    <row r="78" spans="1:12" x14ac:dyDescent="0.25">
      <c r="A78">
        <v>40</v>
      </c>
      <c r="B78" t="s">
        <v>144</v>
      </c>
      <c r="C78" t="s">
        <v>116</v>
      </c>
      <c r="D78" t="s">
        <v>143</v>
      </c>
      <c r="E78">
        <v>10000</v>
      </c>
      <c r="F78" t="s">
        <v>76</v>
      </c>
      <c r="G78">
        <v>10000</v>
      </c>
      <c r="H78">
        <v>0.6</v>
      </c>
      <c r="I78">
        <v>6000</v>
      </c>
      <c r="J78">
        <v>17.085081386743781</v>
      </c>
      <c r="K78" t="s">
        <v>78</v>
      </c>
      <c r="L78">
        <f t="shared" si="1"/>
        <v>1</v>
      </c>
    </row>
    <row r="79" spans="1:12" x14ac:dyDescent="0.25">
      <c r="A79">
        <v>40</v>
      </c>
      <c r="B79" t="s">
        <v>144</v>
      </c>
      <c r="C79" t="s">
        <v>116</v>
      </c>
      <c r="D79" t="s">
        <v>146</v>
      </c>
      <c r="E79">
        <v>10000</v>
      </c>
      <c r="F79" t="s">
        <v>76</v>
      </c>
      <c r="G79">
        <v>10000</v>
      </c>
      <c r="H79">
        <v>0.6</v>
      </c>
      <c r="I79">
        <v>6000</v>
      </c>
      <c r="J79">
        <v>14.29617860693636</v>
      </c>
      <c r="K79" t="s">
        <v>78</v>
      </c>
      <c r="L79">
        <f t="shared" si="1"/>
        <v>1</v>
      </c>
    </row>
    <row r="80" spans="1:12" x14ac:dyDescent="0.25">
      <c r="A80">
        <v>40</v>
      </c>
      <c r="B80" t="s">
        <v>144</v>
      </c>
      <c r="C80" t="s">
        <v>116</v>
      </c>
      <c r="D80" t="s">
        <v>110</v>
      </c>
      <c r="E80">
        <v>10000</v>
      </c>
      <c r="F80" t="s">
        <v>76</v>
      </c>
      <c r="G80">
        <v>10000</v>
      </c>
      <c r="H80">
        <v>0.6</v>
      </c>
      <c r="I80">
        <v>6000</v>
      </c>
      <c r="J80">
        <v>15.433862914177091</v>
      </c>
      <c r="K80" t="s">
        <v>78</v>
      </c>
      <c r="L80">
        <f t="shared" si="1"/>
        <v>1</v>
      </c>
    </row>
    <row r="81" spans="1:12" x14ac:dyDescent="0.25">
      <c r="A81">
        <v>19</v>
      </c>
      <c r="B81" t="s">
        <v>147</v>
      </c>
      <c r="C81" t="s">
        <v>101</v>
      </c>
      <c r="D81" t="s">
        <v>143</v>
      </c>
      <c r="E81">
        <v>3600</v>
      </c>
      <c r="F81" t="s">
        <v>76</v>
      </c>
      <c r="G81">
        <v>2400</v>
      </c>
      <c r="H81">
        <v>0.6</v>
      </c>
      <c r="I81">
        <v>2160</v>
      </c>
      <c r="J81">
        <v>5.3476071785753891</v>
      </c>
      <c r="K81" t="s">
        <v>74</v>
      </c>
      <c r="L81">
        <f t="shared" si="1"/>
        <v>0.66666666666666663</v>
      </c>
    </row>
    <row r="82" spans="1:12" x14ac:dyDescent="0.25">
      <c r="A82">
        <v>19</v>
      </c>
      <c r="B82" t="s">
        <v>147</v>
      </c>
      <c r="C82" t="s">
        <v>101</v>
      </c>
      <c r="D82" t="s">
        <v>146</v>
      </c>
      <c r="E82">
        <v>3600</v>
      </c>
      <c r="F82" t="s">
        <v>76</v>
      </c>
      <c r="G82">
        <v>2400</v>
      </c>
      <c r="H82">
        <v>0.6</v>
      </c>
      <c r="I82">
        <v>2160</v>
      </c>
      <c r="J82">
        <v>7.5893102776267796</v>
      </c>
      <c r="K82" t="s">
        <v>74</v>
      </c>
      <c r="L82">
        <f t="shared" si="1"/>
        <v>0.66666666666666663</v>
      </c>
    </row>
    <row r="83" spans="1:12" x14ac:dyDescent="0.25">
      <c r="A83">
        <v>19</v>
      </c>
      <c r="B83" t="s">
        <v>147</v>
      </c>
      <c r="C83" t="s">
        <v>101</v>
      </c>
      <c r="D83" t="s">
        <v>150</v>
      </c>
      <c r="E83">
        <v>3200</v>
      </c>
      <c r="F83" t="s">
        <v>77</v>
      </c>
      <c r="G83">
        <v>2640</v>
      </c>
      <c r="H83">
        <v>0.6</v>
      </c>
      <c r="I83">
        <v>1920</v>
      </c>
      <c r="J83">
        <v>8.2438732565792083</v>
      </c>
      <c r="K83" t="s">
        <v>74</v>
      </c>
      <c r="L83">
        <f t="shared" si="1"/>
        <v>0.82499999999999996</v>
      </c>
    </row>
    <row r="84" spans="1:12" x14ac:dyDescent="0.25">
      <c r="A84">
        <v>32</v>
      </c>
      <c r="B84" t="s">
        <v>151</v>
      </c>
      <c r="C84" t="s">
        <v>73</v>
      </c>
      <c r="D84" t="s">
        <v>95</v>
      </c>
      <c r="E84">
        <v>11000</v>
      </c>
      <c r="F84" t="s">
        <v>77</v>
      </c>
      <c r="G84">
        <v>5500</v>
      </c>
      <c r="H84">
        <v>0.3</v>
      </c>
      <c r="I84">
        <v>3300</v>
      </c>
      <c r="J84">
        <v>4.7912328894695371</v>
      </c>
      <c r="K84" t="s">
        <v>74</v>
      </c>
      <c r="L84">
        <f t="shared" si="1"/>
        <v>0.5</v>
      </c>
    </row>
    <row r="85" spans="1:12" x14ac:dyDescent="0.25">
      <c r="A85">
        <v>33</v>
      </c>
      <c r="B85" t="s">
        <v>153</v>
      </c>
      <c r="C85" t="s">
        <v>73</v>
      </c>
      <c r="D85" t="s">
        <v>95</v>
      </c>
      <c r="E85">
        <v>5400</v>
      </c>
      <c r="F85" t="s">
        <v>77</v>
      </c>
      <c r="G85">
        <v>2750</v>
      </c>
      <c r="H85">
        <v>0.3</v>
      </c>
      <c r="I85">
        <v>1620</v>
      </c>
      <c r="J85">
        <v>4.8762700203432283</v>
      </c>
      <c r="K85" t="s">
        <v>74</v>
      </c>
      <c r="L85">
        <f t="shared" si="1"/>
        <v>0.5092592592592593</v>
      </c>
    </row>
    <row r="86" spans="1:12" x14ac:dyDescent="0.25">
      <c r="A86">
        <v>30</v>
      </c>
      <c r="B86" t="s">
        <v>155</v>
      </c>
      <c r="C86" t="s">
        <v>73</v>
      </c>
      <c r="D86" t="s">
        <v>90</v>
      </c>
      <c r="E86">
        <v>4500</v>
      </c>
      <c r="F86" t="s">
        <v>77</v>
      </c>
      <c r="G86">
        <v>2200</v>
      </c>
      <c r="H86">
        <v>0.3</v>
      </c>
      <c r="I86">
        <v>1350</v>
      </c>
      <c r="J86">
        <v>5.9597681790881927</v>
      </c>
      <c r="K86" t="s">
        <v>78</v>
      </c>
      <c r="L86">
        <f t="shared" si="1"/>
        <v>0.48888888888888887</v>
      </c>
    </row>
    <row r="87" spans="1:12" x14ac:dyDescent="0.25">
      <c r="A87">
        <v>34</v>
      </c>
      <c r="B87" t="s">
        <v>158</v>
      </c>
      <c r="C87" t="s">
        <v>73</v>
      </c>
      <c r="D87" t="s">
        <v>150</v>
      </c>
      <c r="E87">
        <v>6000</v>
      </c>
      <c r="F87" t="s">
        <v>77</v>
      </c>
      <c r="G87">
        <v>1200</v>
      </c>
      <c r="H87">
        <v>0.3</v>
      </c>
      <c r="I87">
        <v>1800</v>
      </c>
      <c r="J87">
        <v>4.4503666440534939</v>
      </c>
      <c r="K87" t="s">
        <v>78</v>
      </c>
      <c r="L87">
        <f t="shared" si="1"/>
        <v>0.2</v>
      </c>
    </row>
    <row r="88" spans="1:12" x14ac:dyDescent="0.25">
      <c r="A88">
        <v>23</v>
      </c>
      <c r="B88" t="s">
        <v>160</v>
      </c>
      <c r="C88" t="s">
        <v>73</v>
      </c>
      <c r="D88" t="s">
        <v>150</v>
      </c>
      <c r="E88">
        <v>3000</v>
      </c>
      <c r="F88" t="s">
        <v>77</v>
      </c>
      <c r="G88">
        <v>3000</v>
      </c>
      <c r="H88">
        <v>0.3</v>
      </c>
      <c r="I88">
        <v>900</v>
      </c>
      <c r="J88">
        <v>7.4051335923437414</v>
      </c>
      <c r="K88" t="s">
        <v>78</v>
      </c>
      <c r="L88">
        <f t="shared" si="1"/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8"/>
  <sheetViews>
    <sheetView zoomScale="85" zoomScaleNormal="85" workbookViewId="0">
      <selection activeCell="I20" sqref="I20"/>
    </sheetView>
  </sheetViews>
  <sheetFormatPr defaultRowHeight="14.4" x14ac:dyDescent="0.25"/>
  <cols>
    <col min="4" max="4" width="14.21875" customWidth="1"/>
    <col min="5" max="5" width="12.44140625" customWidth="1"/>
    <col min="9" max="9" width="14.88671875" customWidth="1"/>
    <col min="10" max="10" width="17.88671875" customWidth="1"/>
    <col min="12" max="12" width="13.21875" customWidth="1"/>
    <col min="13" max="13" width="17.88671875" customWidth="1"/>
    <col min="14" max="14" width="12.77734375" customWidth="1"/>
  </cols>
  <sheetData>
    <row r="1" spans="1:14" x14ac:dyDescent="0.25">
      <c r="A1" s="6" t="s">
        <v>3</v>
      </c>
      <c r="B1" s="6" t="s">
        <v>4</v>
      </c>
      <c r="C1" s="7" t="s">
        <v>169</v>
      </c>
      <c r="D1" s="6" t="s">
        <v>6</v>
      </c>
      <c r="E1" s="7" t="s">
        <v>171</v>
      </c>
      <c r="F1" s="6" t="s">
        <v>11</v>
      </c>
      <c r="G1" s="6" t="s">
        <v>165</v>
      </c>
      <c r="H1" s="6" t="s">
        <v>166</v>
      </c>
      <c r="I1" s="6" t="s">
        <v>167</v>
      </c>
      <c r="J1" s="7" t="s">
        <v>172</v>
      </c>
      <c r="K1" s="2" t="s">
        <v>173</v>
      </c>
      <c r="L1" s="2" t="s">
        <v>174</v>
      </c>
      <c r="M1" s="2" t="s">
        <v>164</v>
      </c>
      <c r="N1" s="1" t="s">
        <v>5</v>
      </c>
    </row>
    <row r="2" spans="1:14" x14ac:dyDescent="0.25">
      <c r="A2">
        <v>6</v>
      </c>
      <c r="B2" t="s">
        <v>14</v>
      </c>
      <c r="C2">
        <v>800</v>
      </c>
      <c r="D2">
        <v>80</v>
      </c>
      <c r="E2">
        <v>64000</v>
      </c>
      <c r="F2" t="s">
        <v>17</v>
      </c>
      <c r="G2">
        <v>3</v>
      </c>
      <c r="H2">
        <v>4</v>
      </c>
      <c r="I2">
        <v>1</v>
      </c>
      <c r="J2">
        <v>3.3745401188473632</v>
      </c>
      <c r="K2">
        <v>450</v>
      </c>
      <c r="L2" t="s">
        <v>12</v>
      </c>
      <c r="M2" t="s">
        <v>13</v>
      </c>
      <c r="N2" t="s">
        <v>15</v>
      </c>
    </row>
    <row r="3" spans="1:14" x14ac:dyDescent="0.25">
      <c r="A3">
        <v>6</v>
      </c>
      <c r="B3" t="s">
        <v>14</v>
      </c>
      <c r="C3">
        <v>760</v>
      </c>
      <c r="D3">
        <v>60</v>
      </c>
      <c r="E3">
        <v>45600</v>
      </c>
      <c r="F3" t="s">
        <v>17</v>
      </c>
      <c r="G3">
        <v>3</v>
      </c>
      <c r="H3">
        <v>4</v>
      </c>
      <c r="I3">
        <v>1</v>
      </c>
      <c r="J3">
        <v>3.9507143064099162</v>
      </c>
      <c r="K3">
        <v>450</v>
      </c>
      <c r="L3" t="s">
        <v>20</v>
      </c>
      <c r="M3" t="s">
        <v>18</v>
      </c>
      <c r="N3" t="s">
        <v>15</v>
      </c>
    </row>
    <row r="4" spans="1:14" x14ac:dyDescent="0.25">
      <c r="A4">
        <v>6</v>
      </c>
      <c r="B4" t="s">
        <v>14</v>
      </c>
      <c r="C4">
        <v>760</v>
      </c>
      <c r="D4">
        <v>55</v>
      </c>
      <c r="E4">
        <v>41800</v>
      </c>
      <c r="F4" t="s">
        <v>17</v>
      </c>
      <c r="G4">
        <v>3</v>
      </c>
      <c r="H4">
        <v>4</v>
      </c>
      <c r="I4">
        <v>1</v>
      </c>
      <c r="J4">
        <v>3.731993941811405</v>
      </c>
      <c r="K4">
        <v>450</v>
      </c>
      <c r="L4" t="s">
        <v>21</v>
      </c>
      <c r="M4" t="s">
        <v>18</v>
      </c>
      <c r="N4" t="s">
        <v>15</v>
      </c>
    </row>
    <row r="5" spans="1:14" x14ac:dyDescent="0.25">
      <c r="A5">
        <v>6</v>
      </c>
      <c r="B5" t="s">
        <v>14</v>
      </c>
      <c r="C5">
        <v>720</v>
      </c>
      <c r="D5">
        <v>27</v>
      </c>
      <c r="E5">
        <v>19440</v>
      </c>
      <c r="F5" t="s">
        <v>17</v>
      </c>
      <c r="G5">
        <v>3</v>
      </c>
      <c r="H5">
        <v>4</v>
      </c>
      <c r="I5">
        <v>1</v>
      </c>
      <c r="J5">
        <v>3.598658484197037</v>
      </c>
      <c r="K5">
        <v>450</v>
      </c>
      <c r="L5" t="s">
        <v>22</v>
      </c>
      <c r="M5" t="s">
        <v>19</v>
      </c>
      <c r="N5" t="s">
        <v>15</v>
      </c>
    </row>
    <row r="6" spans="1:14" x14ac:dyDescent="0.25">
      <c r="A6">
        <v>7</v>
      </c>
      <c r="B6" t="s">
        <v>24</v>
      </c>
      <c r="C6">
        <v>1000</v>
      </c>
      <c r="D6">
        <v>55</v>
      </c>
      <c r="E6">
        <v>55000</v>
      </c>
      <c r="F6" t="s">
        <v>25</v>
      </c>
      <c r="G6">
        <v>2.5</v>
      </c>
      <c r="H6">
        <v>3.5</v>
      </c>
      <c r="I6">
        <v>1</v>
      </c>
      <c r="J6">
        <v>2.656018640442436</v>
      </c>
      <c r="K6">
        <v>500</v>
      </c>
      <c r="L6" t="s">
        <v>23</v>
      </c>
      <c r="M6" t="s">
        <v>13</v>
      </c>
      <c r="N6" t="s">
        <v>15</v>
      </c>
    </row>
    <row r="7" spans="1:14" x14ac:dyDescent="0.25">
      <c r="A7">
        <v>7</v>
      </c>
      <c r="B7" t="s">
        <v>24</v>
      </c>
      <c r="C7">
        <v>1000</v>
      </c>
      <c r="D7">
        <v>35</v>
      </c>
      <c r="E7">
        <v>35000</v>
      </c>
      <c r="F7" t="s">
        <v>25</v>
      </c>
      <c r="G7">
        <v>2.5</v>
      </c>
      <c r="H7">
        <v>3.5</v>
      </c>
      <c r="I7">
        <v>1</v>
      </c>
      <c r="J7">
        <v>2.6559945203362032</v>
      </c>
      <c r="K7">
        <v>500</v>
      </c>
      <c r="L7" t="s">
        <v>26</v>
      </c>
      <c r="M7" t="s">
        <v>13</v>
      </c>
      <c r="N7" t="s">
        <v>15</v>
      </c>
    </row>
    <row r="8" spans="1:14" x14ac:dyDescent="0.25">
      <c r="A8">
        <v>7</v>
      </c>
      <c r="B8" t="s">
        <v>24</v>
      </c>
      <c r="C8">
        <v>950</v>
      </c>
      <c r="D8">
        <v>45</v>
      </c>
      <c r="E8">
        <v>42750</v>
      </c>
      <c r="F8" t="s">
        <v>25</v>
      </c>
      <c r="G8">
        <v>2.5</v>
      </c>
      <c r="H8">
        <v>3.5</v>
      </c>
      <c r="I8">
        <v>1</v>
      </c>
      <c r="J8">
        <v>2.5580836121682</v>
      </c>
      <c r="K8">
        <v>500</v>
      </c>
      <c r="L8" t="s">
        <v>27</v>
      </c>
      <c r="M8" t="s">
        <v>18</v>
      </c>
      <c r="N8" t="s">
        <v>15</v>
      </c>
    </row>
    <row r="9" spans="1:14" x14ac:dyDescent="0.25">
      <c r="A9">
        <v>1</v>
      </c>
      <c r="B9" t="s">
        <v>29</v>
      </c>
      <c r="C9">
        <v>400</v>
      </c>
      <c r="D9">
        <v>72</v>
      </c>
      <c r="E9">
        <v>28800</v>
      </c>
      <c r="F9" t="s">
        <v>31</v>
      </c>
      <c r="G9">
        <v>2.5</v>
      </c>
      <c r="H9">
        <v>4</v>
      </c>
      <c r="I9">
        <v>1.5</v>
      </c>
      <c r="J9">
        <v>3.7992642186624028</v>
      </c>
      <c r="K9">
        <v>400</v>
      </c>
      <c r="L9" t="s">
        <v>28</v>
      </c>
      <c r="M9" t="s">
        <v>13</v>
      </c>
      <c r="N9" t="s">
        <v>30</v>
      </c>
    </row>
    <row r="10" spans="1:14" x14ac:dyDescent="0.25">
      <c r="A10">
        <v>1</v>
      </c>
      <c r="B10" t="s">
        <v>29</v>
      </c>
      <c r="C10">
        <v>380</v>
      </c>
      <c r="D10">
        <v>60</v>
      </c>
      <c r="E10">
        <v>22800</v>
      </c>
      <c r="F10" t="s">
        <v>31</v>
      </c>
      <c r="G10">
        <v>2.5</v>
      </c>
      <c r="H10">
        <v>4</v>
      </c>
      <c r="I10">
        <v>1.5</v>
      </c>
      <c r="J10">
        <v>3.4016725176148128</v>
      </c>
      <c r="K10">
        <v>400</v>
      </c>
      <c r="L10" t="s">
        <v>32</v>
      </c>
      <c r="M10" t="s">
        <v>18</v>
      </c>
      <c r="N10" t="s">
        <v>30</v>
      </c>
    </row>
    <row r="11" spans="1:14" x14ac:dyDescent="0.25">
      <c r="A11">
        <v>1</v>
      </c>
      <c r="B11" t="s">
        <v>29</v>
      </c>
      <c r="C11">
        <v>360</v>
      </c>
      <c r="D11">
        <v>15</v>
      </c>
      <c r="E11">
        <v>5400</v>
      </c>
      <c r="F11" t="s">
        <v>31</v>
      </c>
      <c r="G11">
        <v>2.5</v>
      </c>
      <c r="H11">
        <v>4</v>
      </c>
      <c r="I11">
        <v>1.5</v>
      </c>
      <c r="J11">
        <v>3.5621088666940679</v>
      </c>
      <c r="K11">
        <v>400</v>
      </c>
      <c r="L11" t="s">
        <v>33</v>
      </c>
      <c r="M11" t="s">
        <v>19</v>
      </c>
      <c r="N11" t="s">
        <v>30</v>
      </c>
    </row>
    <row r="12" spans="1:14" x14ac:dyDescent="0.25">
      <c r="A12">
        <v>4</v>
      </c>
      <c r="B12" t="s">
        <v>35</v>
      </c>
      <c r="C12">
        <v>350</v>
      </c>
      <c r="D12">
        <v>68</v>
      </c>
      <c r="E12">
        <v>23800</v>
      </c>
      <c r="F12" t="s">
        <v>36</v>
      </c>
      <c r="G12">
        <v>6</v>
      </c>
      <c r="H12">
        <v>8</v>
      </c>
      <c r="I12">
        <v>2</v>
      </c>
      <c r="J12">
        <v>6.0411689885916049</v>
      </c>
      <c r="K12">
        <v>350</v>
      </c>
      <c r="L12" t="s">
        <v>34</v>
      </c>
      <c r="M12" t="s">
        <v>13</v>
      </c>
      <c r="N12" t="s">
        <v>30</v>
      </c>
    </row>
    <row r="13" spans="1:14" x14ac:dyDescent="0.25">
      <c r="A13">
        <v>4</v>
      </c>
      <c r="B13" t="s">
        <v>35</v>
      </c>
      <c r="C13">
        <v>330</v>
      </c>
      <c r="D13">
        <v>28</v>
      </c>
      <c r="E13">
        <v>9240</v>
      </c>
      <c r="F13" t="s">
        <v>36</v>
      </c>
      <c r="G13">
        <v>6</v>
      </c>
      <c r="H13">
        <v>8</v>
      </c>
      <c r="I13">
        <v>2</v>
      </c>
      <c r="J13">
        <v>7.9398197043239884</v>
      </c>
      <c r="K13">
        <v>350</v>
      </c>
      <c r="L13" t="s">
        <v>37</v>
      </c>
      <c r="M13" t="s">
        <v>18</v>
      </c>
      <c r="N13" t="s">
        <v>30</v>
      </c>
    </row>
    <row r="14" spans="1:14" x14ac:dyDescent="0.25">
      <c r="A14">
        <v>8</v>
      </c>
      <c r="B14" t="s">
        <v>39</v>
      </c>
      <c r="C14">
        <v>400</v>
      </c>
      <c r="D14">
        <v>55</v>
      </c>
      <c r="E14">
        <v>22000</v>
      </c>
      <c r="F14" t="s">
        <v>40</v>
      </c>
      <c r="G14">
        <v>6</v>
      </c>
      <c r="H14">
        <v>7.5</v>
      </c>
      <c r="I14">
        <v>1.5</v>
      </c>
      <c r="J14">
        <v>7.2486639612006316</v>
      </c>
      <c r="K14">
        <v>360</v>
      </c>
      <c r="L14" t="s">
        <v>38</v>
      </c>
      <c r="M14" t="s">
        <v>13</v>
      </c>
      <c r="N14" t="s">
        <v>15</v>
      </c>
    </row>
    <row r="15" spans="1:14" x14ac:dyDescent="0.25">
      <c r="A15">
        <v>8</v>
      </c>
      <c r="B15" t="s">
        <v>39</v>
      </c>
      <c r="C15">
        <v>380</v>
      </c>
      <c r="D15">
        <v>86</v>
      </c>
      <c r="E15">
        <v>32680</v>
      </c>
      <c r="F15" t="s">
        <v>40</v>
      </c>
      <c r="G15">
        <v>6</v>
      </c>
      <c r="H15">
        <v>7.5</v>
      </c>
      <c r="I15">
        <v>1.5</v>
      </c>
      <c r="J15">
        <v>6.3185086660174141</v>
      </c>
      <c r="K15">
        <v>360</v>
      </c>
      <c r="L15" t="s">
        <v>41</v>
      </c>
      <c r="M15" t="s">
        <v>18</v>
      </c>
      <c r="N15" t="s">
        <v>15</v>
      </c>
    </row>
    <row r="16" spans="1:14" x14ac:dyDescent="0.25">
      <c r="A16">
        <v>8</v>
      </c>
      <c r="B16" t="s">
        <v>39</v>
      </c>
      <c r="C16">
        <v>380</v>
      </c>
      <c r="D16">
        <v>44</v>
      </c>
      <c r="E16">
        <v>16720</v>
      </c>
      <c r="F16" t="s">
        <v>40</v>
      </c>
      <c r="G16">
        <v>6</v>
      </c>
      <c r="H16">
        <v>7.5</v>
      </c>
      <c r="I16">
        <v>1.5</v>
      </c>
      <c r="J16">
        <v>6.2727374508106513</v>
      </c>
      <c r="K16">
        <v>360</v>
      </c>
      <c r="L16" t="s">
        <v>42</v>
      </c>
      <c r="M16" t="s">
        <v>18</v>
      </c>
      <c r="N16" t="s">
        <v>15</v>
      </c>
    </row>
    <row r="17" spans="1:14" x14ac:dyDescent="0.25">
      <c r="A17">
        <v>10</v>
      </c>
      <c r="B17" t="s">
        <v>44</v>
      </c>
      <c r="C17">
        <v>500</v>
      </c>
      <c r="D17">
        <v>25</v>
      </c>
      <c r="E17">
        <v>12500</v>
      </c>
      <c r="F17" t="s">
        <v>45</v>
      </c>
      <c r="G17">
        <v>6.5</v>
      </c>
      <c r="H17">
        <v>8.5</v>
      </c>
      <c r="I17">
        <v>2</v>
      </c>
      <c r="J17">
        <v>6.8668090197068672</v>
      </c>
      <c r="K17">
        <v>360</v>
      </c>
      <c r="L17" t="s">
        <v>43</v>
      </c>
      <c r="M17" t="s">
        <v>18</v>
      </c>
      <c r="N17" t="s">
        <v>15</v>
      </c>
    </row>
    <row r="18" spans="1:14" x14ac:dyDescent="0.25">
      <c r="A18">
        <v>14</v>
      </c>
      <c r="B18" t="s">
        <v>47</v>
      </c>
      <c r="C18">
        <v>400</v>
      </c>
      <c r="D18">
        <v>35</v>
      </c>
      <c r="E18">
        <v>14000</v>
      </c>
      <c r="F18" t="s">
        <v>48</v>
      </c>
      <c r="G18">
        <v>5</v>
      </c>
      <c r="H18">
        <v>6</v>
      </c>
      <c r="I18">
        <v>1</v>
      </c>
      <c r="J18">
        <v>5.3042422429595373</v>
      </c>
      <c r="K18">
        <v>400</v>
      </c>
      <c r="L18" t="s">
        <v>46</v>
      </c>
      <c r="M18" t="s">
        <v>18</v>
      </c>
      <c r="N18" t="s">
        <v>15</v>
      </c>
    </row>
    <row r="19" spans="1:14" x14ac:dyDescent="0.25">
      <c r="A19">
        <v>15</v>
      </c>
      <c r="B19" t="s">
        <v>50</v>
      </c>
      <c r="C19">
        <v>500</v>
      </c>
      <c r="D19">
        <v>20</v>
      </c>
      <c r="E19">
        <v>10000</v>
      </c>
      <c r="F19" t="s">
        <v>17</v>
      </c>
      <c r="G19">
        <v>3</v>
      </c>
      <c r="H19">
        <v>4</v>
      </c>
      <c r="I19">
        <v>1</v>
      </c>
      <c r="J19">
        <v>3.524756431632238</v>
      </c>
      <c r="K19">
        <v>350</v>
      </c>
      <c r="L19" t="s">
        <v>49</v>
      </c>
      <c r="M19" t="s">
        <v>18</v>
      </c>
      <c r="N19" t="s">
        <v>15</v>
      </c>
    </row>
    <row r="20" spans="1:14" x14ac:dyDescent="0.25">
      <c r="A20">
        <v>2</v>
      </c>
      <c r="B20" t="s">
        <v>52</v>
      </c>
      <c r="C20">
        <v>475</v>
      </c>
      <c r="D20">
        <v>46</v>
      </c>
      <c r="E20">
        <v>21850</v>
      </c>
      <c r="F20" t="s">
        <v>45</v>
      </c>
      <c r="G20">
        <v>6.5</v>
      </c>
      <c r="H20">
        <v>8.5</v>
      </c>
      <c r="I20">
        <v>2</v>
      </c>
      <c r="J20">
        <v>7.3638900372842313</v>
      </c>
      <c r="K20">
        <v>400</v>
      </c>
      <c r="L20" t="s">
        <v>51</v>
      </c>
      <c r="M20" t="s">
        <v>18</v>
      </c>
      <c r="N20" t="s">
        <v>30</v>
      </c>
    </row>
    <row r="21" spans="1:14" x14ac:dyDescent="0.25">
      <c r="A21">
        <v>3</v>
      </c>
      <c r="B21" t="s">
        <v>54</v>
      </c>
      <c r="C21">
        <v>380</v>
      </c>
      <c r="D21">
        <v>40</v>
      </c>
      <c r="E21">
        <v>15200</v>
      </c>
      <c r="F21" t="s">
        <v>55</v>
      </c>
      <c r="G21">
        <v>7.5</v>
      </c>
      <c r="H21">
        <v>9</v>
      </c>
      <c r="I21">
        <v>1.5</v>
      </c>
      <c r="J21">
        <v>7.9368437102970626</v>
      </c>
      <c r="K21">
        <v>350</v>
      </c>
      <c r="L21" t="s">
        <v>53</v>
      </c>
      <c r="M21" t="s">
        <v>18</v>
      </c>
      <c r="N21" t="s">
        <v>30</v>
      </c>
    </row>
    <row r="22" spans="1:14" x14ac:dyDescent="0.25">
      <c r="A22">
        <v>3</v>
      </c>
      <c r="B22" t="s">
        <v>54</v>
      </c>
      <c r="C22">
        <v>360</v>
      </c>
      <c r="D22">
        <v>20</v>
      </c>
      <c r="E22">
        <v>7200</v>
      </c>
      <c r="F22" t="s">
        <v>55</v>
      </c>
      <c r="G22">
        <v>7.5</v>
      </c>
      <c r="H22">
        <v>9</v>
      </c>
      <c r="I22">
        <v>1.5</v>
      </c>
      <c r="J22">
        <v>8.4177793420835698</v>
      </c>
      <c r="K22">
        <v>350</v>
      </c>
      <c r="L22" t="s">
        <v>56</v>
      </c>
      <c r="M22" t="s">
        <v>19</v>
      </c>
      <c r="N22" t="s">
        <v>30</v>
      </c>
    </row>
    <row r="23" spans="1:14" x14ac:dyDescent="0.25">
      <c r="A23">
        <v>5</v>
      </c>
      <c r="B23" t="s">
        <v>58</v>
      </c>
      <c r="C23">
        <v>395</v>
      </c>
      <c r="D23">
        <v>25</v>
      </c>
      <c r="E23">
        <v>9875</v>
      </c>
      <c r="F23" t="s">
        <v>40</v>
      </c>
      <c r="G23">
        <v>6</v>
      </c>
      <c r="H23">
        <v>7.5</v>
      </c>
      <c r="I23">
        <v>1.5</v>
      </c>
      <c r="J23">
        <v>6.2092407909780629</v>
      </c>
      <c r="K23">
        <v>350</v>
      </c>
      <c r="L23" t="s">
        <v>57</v>
      </c>
      <c r="M23" t="s">
        <v>18</v>
      </c>
      <c r="N23" t="s">
        <v>30</v>
      </c>
    </row>
    <row r="24" spans="1:14" x14ac:dyDescent="0.25">
      <c r="A24">
        <v>9</v>
      </c>
      <c r="B24" t="s">
        <v>60</v>
      </c>
      <c r="C24">
        <v>600</v>
      </c>
      <c r="D24">
        <v>50</v>
      </c>
      <c r="E24">
        <v>30000</v>
      </c>
      <c r="F24" t="s">
        <v>61</v>
      </c>
      <c r="G24">
        <v>5.5</v>
      </c>
      <c r="H24">
        <v>6.5</v>
      </c>
      <c r="I24">
        <v>1</v>
      </c>
      <c r="J24">
        <v>5.7921446485352179</v>
      </c>
      <c r="K24">
        <v>400</v>
      </c>
      <c r="L24" t="s">
        <v>59</v>
      </c>
      <c r="M24" t="s">
        <v>18</v>
      </c>
      <c r="N24" t="s">
        <v>15</v>
      </c>
    </row>
    <row r="25" spans="1:14" x14ac:dyDescent="0.25">
      <c r="A25">
        <v>11</v>
      </c>
      <c r="B25" t="s">
        <v>63</v>
      </c>
      <c r="C25">
        <v>100</v>
      </c>
      <c r="D25">
        <v>15</v>
      </c>
      <c r="E25">
        <v>1500</v>
      </c>
      <c r="F25" t="s">
        <v>64</v>
      </c>
      <c r="G25">
        <v>30</v>
      </c>
      <c r="H25">
        <v>50</v>
      </c>
      <c r="I25">
        <v>20</v>
      </c>
      <c r="J25">
        <v>37.327236865873843</v>
      </c>
      <c r="K25">
        <v>350</v>
      </c>
      <c r="L25" t="s">
        <v>62</v>
      </c>
      <c r="M25" t="s">
        <v>19</v>
      </c>
      <c r="N25" t="s">
        <v>15</v>
      </c>
    </row>
    <row r="26" spans="1:14" x14ac:dyDescent="0.25">
      <c r="A26">
        <v>12</v>
      </c>
      <c r="B26" t="s">
        <v>66</v>
      </c>
      <c r="C26">
        <v>2700</v>
      </c>
      <c r="D26">
        <v>13</v>
      </c>
      <c r="E26">
        <v>35100</v>
      </c>
      <c r="F26" t="s">
        <v>67</v>
      </c>
      <c r="G26">
        <v>1</v>
      </c>
      <c r="H26">
        <v>2</v>
      </c>
      <c r="I26">
        <v>1</v>
      </c>
      <c r="J26">
        <v>1.4560699842170359</v>
      </c>
      <c r="K26">
        <v>1000</v>
      </c>
      <c r="L26" t="s">
        <v>65</v>
      </c>
      <c r="M26" t="s">
        <v>19</v>
      </c>
      <c r="N26" t="s">
        <v>15</v>
      </c>
    </row>
    <row r="27" spans="1:14" x14ac:dyDescent="0.25">
      <c r="A27">
        <v>13</v>
      </c>
      <c r="B27" t="s">
        <v>69</v>
      </c>
      <c r="C27">
        <v>2000</v>
      </c>
      <c r="D27">
        <v>18</v>
      </c>
      <c r="E27">
        <v>36000</v>
      </c>
      <c r="F27" t="s">
        <v>31</v>
      </c>
      <c r="G27">
        <v>2.5</v>
      </c>
      <c r="H27">
        <v>4</v>
      </c>
      <c r="I27">
        <v>1.5</v>
      </c>
      <c r="J27">
        <v>3.6777639420895198</v>
      </c>
      <c r="K27">
        <v>2000</v>
      </c>
      <c r="L27" t="s">
        <v>68</v>
      </c>
      <c r="M27" t="s">
        <v>19</v>
      </c>
      <c r="N27" t="s">
        <v>15</v>
      </c>
    </row>
    <row r="28" spans="1:14" x14ac:dyDescent="0.25">
      <c r="A28">
        <v>20</v>
      </c>
      <c r="B28" t="s">
        <v>72</v>
      </c>
      <c r="C28">
        <v>2000</v>
      </c>
      <c r="D28">
        <v>15</v>
      </c>
      <c r="E28">
        <v>30000</v>
      </c>
      <c r="F28" t="s">
        <v>75</v>
      </c>
      <c r="G28">
        <v>3</v>
      </c>
      <c r="H28">
        <v>4.5</v>
      </c>
      <c r="I28">
        <v>1.5</v>
      </c>
      <c r="J28">
        <v>3.2995106732375401</v>
      </c>
      <c r="K28">
        <v>2000</v>
      </c>
      <c r="L28" t="s">
        <v>70</v>
      </c>
      <c r="M28" t="s">
        <v>71</v>
      </c>
      <c r="N28" t="s">
        <v>73</v>
      </c>
    </row>
    <row r="29" spans="1:14" x14ac:dyDescent="0.25">
      <c r="A29">
        <v>36</v>
      </c>
      <c r="B29" t="s">
        <v>79</v>
      </c>
      <c r="C29">
        <v>4000</v>
      </c>
      <c r="D29">
        <v>15</v>
      </c>
      <c r="E29">
        <v>60000</v>
      </c>
      <c r="F29" t="s">
        <v>80</v>
      </c>
      <c r="G29">
        <v>2</v>
      </c>
      <c r="H29">
        <v>3</v>
      </c>
      <c r="I29">
        <v>1</v>
      </c>
      <c r="J29">
        <v>2.5142344384136122</v>
      </c>
      <c r="K29">
        <v>500</v>
      </c>
      <c r="L29" t="s">
        <v>70</v>
      </c>
      <c r="M29" t="s">
        <v>71</v>
      </c>
      <c r="N29" t="s">
        <v>73</v>
      </c>
    </row>
    <row r="30" spans="1:14" x14ac:dyDescent="0.25">
      <c r="A30">
        <v>36</v>
      </c>
      <c r="B30" t="s">
        <v>79</v>
      </c>
      <c r="C30">
        <v>4000</v>
      </c>
      <c r="D30">
        <v>10</v>
      </c>
      <c r="E30">
        <v>40000</v>
      </c>
      <c r="F30" t="s">
        <v>80</v>
      </c>
      <c r="G30">
        <v>2</v>
      </c>
      <c r="H30">
        <v>3</v>
      </c>
      <c r="I30">
        <v>1</v>
      </c>
      <c r="J30">
        <v>2.592414568862043</v>
      </c>
      <c r="K30">
        <v>500</v>
      </c>
      <c r="L30" t="s">
        <v>81</v>
      </c>
      <c r="M30" t="s">
        <v>71</v>
      </c>
      <c r="N30" t="s">
        <v>73</v>
      </c>
    </row>
    <row r="31" spans="1:14" x14ac:dyDescent="0.25">
      <c r="A31">
        <v>35</v>
      </c>
      <c r="B31" t="s">
        <v>83</v>
      </c>
      <c r="C31">
        <v>5000</v>
      </c>
      <c r="D31">
        <v>10</v>
      </c>
      <c r="E31">
        <v>50000</v>
      </c>
      <c r="F31" t="s">
        <v>80</v>
      </c>
      <c r="G31">
        <v>2</v>
      </c>
      <c r="H31">
        <v>3</v>
      </c>
      <c r="I31">
        <v>1</v>
      </c>
      <c r="J31">
        <v>2.0464504127199978</v>
      </c>
      <c r="K31">
        <v>2000</v>
      </c>
      <c r="L31" t="s">
        <v>82</v>
      </c>
      <c r="M31" t="s">
        <v>71</v>
      </c>
      <c r="N31" t="s">
        <v>73</v>
      </c>
    </row>
    <row r="32" spans="1:14" x14ac:dyDescent="0.25">
      <c r="A32">
        <v>35</v>
      </c>
      <c r="B32" t="s">
        <v>83</v>
      </c>
      <c r="C32">
        <v>5000</v>
      </c>
      <c r="D32">
        <v>14</v>
      </c>
      <c r="E32">
        <v>70000</v>
      </c>
      <c r="F32" t="s">
        <v>80</v>
      </c>
      <c r="G32">
        <v>2</v>
      </c>
      <c r="H32">
        <v>3</v>
      </c>
      <c r="I32">
        <v>1</v>
      </c>
      <c r="J32">
        <v>2.6075448519014381</v>
      </c>
      <c r="K32">
        <v>2000</v>
      </c>
      <c r="L32" t="s">
        <v>84</v>
      </c>
      <c r="M32" t="s">
        <v>71</v>
      </c>
      <c r="N32" t="s">
        <v>73</v>
      </c>
    </row>
    <row r="33" spans="1:14" x14ac:dyDescent="0.25">
      <c r="A33">
        <v>35</v>
      </c>
      <c r="B33" t="s">
        <v>83</v>
      </c>
      <c r="C33">
        <v>5000</v>
      </c>
      <c r="D33">
        <v>6</v>
      </c>
      <c r="E33">
        <v>30000</v>
      </c>
      <c r="F33" t="s">
        <v>80</v>
      </c>
      <c r="G33">
        <v>2</v>
      </c>
      <c r="H33">
        <v>3</v>
      </c>
      <c r="I33">
        <v>1</v>
      </c>
      <c r="J33">
        <v>2.170524123687291</v>
      </c>
      <c r="K33">
        <v>2000</v>
      </c>
      <c r="L33" t="s">
        <v>85</v>
      </c>
      <c r="M33" t="s">
        <v>71</v>
      </c>
      <c r="N33" t="s">
        <v>73</v>
      </c>
    </row>
    <row r="34" spans="1:14" x14ac:dyDescent="0.25">
      <c r="A34">
        <v>28</v>
      </c>
      <c r="B34" t="s">
        <v>86</v>
      </c>
      <c r="C34">
        <v>3200</v>
      </c>
      <c r="D34">
        <v>10</v>
      </c>
      <c r="E34">
        <v>32000</v>
      </c>
      <c r="F34" t="s">
        <v>87</v>
      </c>
      <c r="G34">
        <v>5</v>
      </c>
      <c r="H34">
        <v>6.5</v>
      </c>
      <c r="I34">
        <v>1.5</v>
      </c>
      <c r="J34">
        <v>5.0975773894779186</v>
      </c>
      <c r="K34">
        <v>1600</v>
      </c>
      <c r="L34" t="s">
        <v>82</v>
      </c>
      <c r="M34" t="s">
        <v>71</v>
      </c>
      <c r="N34" t="s">
        <v>73</v>
      </c>
    </row>
    <row r="35" spans="1:14" x14ac:dyDescent="0.25">
      <c r="A35">
        <v>28</v>
      </c>
      <c r="B35" t="s">
        <v>86</v>
      </c>
      <c r="C35">
        <v>4000</v>
      </c>
      <c r="D35">
        <v>0.6</v>
      </c>
      <c r="E35">
        <v>2400</v>
      </c>
      <c r="F35" t="s">
        <v>87</v>
      </c>
      <c r="G35">
        <v>5</v>
      </c>
      <c r="H35">
        <v>6.5</v>
      </c>
      <c r="I35">
        <v>1.5</v>
      </c>
      <c r="J35">
        <v>6.4233283058800001</v>
      </c>
      <c r="K35">
        <v>2000</v>
      </c>
      <c r="L35" t="s">
        <v>89</v>
      </c>
      <c r="M35" t="s">
        <v>76</v>
      </c>
      <c r="N35" t="s">
        <v>73</v>
      </c>
    </row>
    <row r="36" spans="1:14" x14ac:dyDescent="0.25">
      <c r="A36">
        <v>28</v>
      </c>
      <c r="B36" t="s">
        <v>86</v>
      </c>
      <c r="C36">
        <v>3600</v>
      </c>
      <c r="D36">
        <v>0.3</v>
      </c>
      <c r="E36">
        <v>1080</v>
      </c>
      <c r="F36" t="s">
        <v>88</v>
      </c>
      <c r="G36">
        <v>6</v>
      </c>
      <c r="H36">
        <v>7.8</v>
      </c>
      <c r="I36">
        <v>1.8</v>
      </c>
      <c r="J36">
        <v>7.7381376595342068</v>
      </c>
      <c r="K36">
        <v>2200</v>
      </c>
      <c r="L36" t="s">
        <v>90</v>
      </c>
      <c r="M36" t="s">
        <v>77</v>
      </c>
      <c r="N36" t="s">
        <v>73</v>
      </c>
    </row>
    <row r="37" spans="1:14" x14ac:dyDescent="0.25">
      <c r="A37">
        <v>21</v>
      </c>
      <c r="B37" t="s">
        <v>91</v>
      </c>
      <c r="C37">
        <v>2400</v>
      </c>
      <c r="D37">
        <v>14</v>
      </c>
      <c r="E37">
        <v>33600</v>
      </c>
      <c r="F37" t="s">
        <v>92</v>
      </c>
      <c r="G37">
        <v>5</v>
      </c>
      <c r="H37">
        <v>7.5</v>
      </c>
      <c r="I37">
        <v>2.5</v>
      </c>
      <c r="J37">
        <v>7.0209933702911531</v>
      </c>
      <c r="K37">
        <v>2000</v>
      </c>
      <c r="L37" t="s">
        <v>84</v>
      </c>
      <c r="M37" t="s">
        <v>71</v>
      </c>
      <c r="N37" t="s">
        <v>73</v>
      </c>
    </row>
    <row r="38" spans="1:14" x14ac:dyDescent="0.25">
      <c r="A38">
        <v>21</v>
      </c>
      <c r="B38" t="s">
        <v>91</v>
      </c>
      <c r="C38">
        <v>3000</v>
      </c>
      <c r="D38">
        <v>0.6</v>
      </c>
      <c r="E38">
        <v>1800</v>
      </c>
      <c r="F38" t="s">
        <v>92</v>
      </c>
      <c r="G38">
        <v>5</v>
      </c>
      <c r="H38">
        <v>7.5</v>
      </c>
      <c r="I38">
        <v>2.5</v>
      </c>
      <c r="J38">
        <v>5.7615344229334262</v>
      </c>
      <c r="K38">
        <v>2400</v>
      </c>
      <c r="L38" t="s">
        <v>94</v>
      </c>
      <c r="M38" t="s">
        <v>76</v>
      </c>
      <c r="N38" t="s">
        <v>73</v>
      </c>
    </row>
    <row r="39" spans="1:14" x14ac:dyDescent="0.25">
      <c r="A39">
        <v>21</v>
      </c>
      <c r="B39" t="s">
        <v>91</v>
      </c>
      <c r="C39">
        <v>2700</v>
      </c>
      <c r="D39">
        <v>0.3</v>
      </c>
      <c r="E39">
        <v>810</v>
      </c>
      <c r="F39" t="s">
        <v>93</v>
      </c>
      <c r="G39">
        <v>6</v>
      </c>
      <c r="H39">
        <v>9</v>
      </c>
      <c r="I39">
        <v>3</v>
      </c>
      <c r="J39">
        <v>6.2930163420191514</v>
      </c>
      <c r="K39">
        <v>2640</v>
      </c>
      <c r="L39" t="s">
        <v>95</v>
      </c>
      <c r="M39" t="s">
        <v>77</v>
      </c>
      <c r="N39" t="s">
        <v>73</v>
      </c>
    </row>
    <row r="40" spans="1:14" x14ac:dyDescent="0.25">
      <c r="A40">
        <v>22</v>
      </c>
      <c r="B40" t="s">
        <v>96</v>
      </c>
      <c r="C40">
        <v>6400</v>
      </c>
      <c r="D40">
        <v>6</v>
      </c>
      <c r="E40">
        <v>38400</v>
      </c>
      <c r="F40" t="s">
        <v>48</v>
      </c>
      <c r="G40">
        <v>5</v>
      </c>
      <c r="H40">
        <v>6</v>
      </c>
      <c r="I40">
        <v>1</v>
      </c>
      <c r="J40">
        <v>5.6842330265121568</v>
      </c>
      <c r="K40">
        <v>2000</v>
      </c>
      <c r="L40" t="s">
        <v>85</v>
      </c>
      <c r="M40" t="s">
        <v>71</v>
      </c>
      <c r="N40" t="s">
        <v>73</v>
      </c>
    </row>
    <row r="41" spans="1:14" x14ac:dyDescent="0.25">
      <c r="A41">
        <v>22</v>
      </c>
      <c r="B41" t="s">
        <v>96</v>
      </c>
      <c r="C41">
        <v>8000</v>
      </c>
      <c r="D41">
        <v>0.6</v>
      </c>
      <c r="E41">
        <v>4800</v>
      </c>
      <c r="F41" t="s">
        <v>48</v>
      </c>
      <c r="G41">
        <v>5</v>
      </c>
      <c r="H41">
        <v>6</v>
      </c>
      <c r="I41">
        <v>1</v>
      </c>
      <c r="J41">
        <v>5.4401524937396024</v>
      </c>
      <c r="K41">
        <v>2400</v>
      </c>
      <c r="L41" t="s">
        <v>98</v>
      </c>
      <c r="M41" t="s">
        <v>76</v>
      </c>
      <c r="N41" t="s">
        <v>73</v>
      </c>
    </row>
    <row r="42" spans="1:14" x14ac:dyDescent="0.25">
      <c r="A42">
        <v>22</v>
      </c>
      <c r="B42" t="s">
        <v>96</v>
      </c>
      <c r="C42">
        <v>7200</v>
      </c>
      <c r="D42">
        <v>0.3</v>
      </c>
      <c r="E42">
        <v>2160</v>
      </c>
      <c r="F42" t="s">
        <v>97</v>
      </c>
      <c r="G42">
        <v>6</v>
      </c>
      <c r="H42">
        <v>7.2</v>
      </c>
      <c r="I42">
        <v>1.2</v>
      </c>
      <c r="J42">
        <v>6.1464458818137349</v>
      </c>
      <c r="K42">
        <v>2640</v>
      </c>
      <c r="L42" t="s">
        <v>99</v>
      </c>
      <c r="M42" t="s">
        <v>77</v>
      </c>
      <c r="N42" t="s">
        <v>73</v>
      </c>
    </row>
    <row r="43" spans="1:14" x14ac:dyDescent="0.25">
      <c r="A43">
        <v>17</v>
      </c>
      <c r="B43" t="s">
        <v>100</v>
      </c>
      <c r="C43">
        <v>3000</v>
      </c>
      <c r="D43">
        <v>10</v>
      </c>
      <c r="E43">
        <v>30000</v>
      </c>
      <c r="F43" t="s">
        <v>102</v>
      </c>
      <c r="G43">
        <v>7</v>
      </c>
      <c r="H43">
        <v>9</v>
      </c>
      <c r="I43">
        <v>2</v>
      </c>
      <c r="J43">
        <v>7.9903538202225404</v>
      </c>
      <c r="K43">
        <v>2000</v>
      </c>
      <c r="L43" t="s">
        <v>81</v>
      </c>
      <c r="M43" t="s">
        <v>71</v>
      </c>
      <c r="N43" t="s">
        <v>101</v>
      </c>
    </row>
    <row r="44" spans="1:14" x14ac:dyDescent="0.25">
      <c r="A44">
        <v>17</v>
      </c>
      <c r="B44" t="s">
        <v>100</v>
      </c>
      <c r="C44">
        <v>3600</v>
      </c>
      <c r="D44">
        <v>0.6</v>
      </c>
      <c r="E44">
        <v>2160</v>
      </c>
      <c r="F44" t="s">
        <v>102</v>
      </c>
      <c r="G44">
        <v>7</v>
      </c>
      <c r="H44">
        <v>9</v>
      </c>
      <c r="I44">
        <v>2</v>
      </c>
      <c r="J44">
        <v>7.0687770422304368</v>
      </c>
      <c r="K44">
        <v>2400</v>
      </c>
      <c r="L44" t="s">
        <v>104</v>
      </c>
      <c r="M44" t="s">
        <v>76</v>
      </c>
      <c r="N44" t="s">
        <v>101</v>
      </c>
    </row>
    <row r="45" spans="1:14" x14ac:dyDescent="0.25">
      <c r="A45">
        <v>17</v>
      </c>
      <c r="B45" t="s">
        <v>100</v>
      </c>
      <c r="C45">
        <v>3600</v>
      </c>
      <c r="D45">
        <v>0.6</v>
      </c>
      <c r="E45">
        <v>2160</v>
      </c>
      <c r="F45" t="s">
        <v>102</v>
      </c>
      <c r="G45">
        <v>7</v>
      </c>
      <c r="H45">
        <v>9</v>
      </c>
      <c r="I45">
        <v>2</v>
      </c>
      <c r="J45">
        <v>8.8186408041575639</v>
      </c>
      <c r="K45">
        <v>2400</v>
      </c>
      <c r="L45" t="s">
        <v>105</v>
      </c>
      <c r="M45" t="s">
        <v>76</v>
      </c>
      <c r="N45" t="s">
        <v>101</v>
      </c>
    </row>
    <row r="46" spans="1:14" x14ac:dyDescent="0.25">
      <c r="A46">
        <v>17</v>
      </c>
      <c r="B46" t="s">
        <v>100</v>
      </c>
      <c r="C46">
        <v>3200</v>
      </c>
      <c r="D46">
        <v>0.6</v>
      </c>
      <c r="E46">
        <v>1920</v>
      </c>
      <c r="F46" t="s">
        <v>103</v>
      </c>
      <c r="G46">
        <v>8.4</v>
      </c>
      <c r="H46">
        <v>10.8</v>
      </c>
      <c r="I46">
        <v>2.4</v>
      </c>
      <c r="J46">
        <v>9.021071955840041</v>
      </c>
      <c r="K46">
        <v>2640</v>
      </c>
      <c r="L46" t="s">
        <v>90</v>
      </c>
      <c r="M46" t="s">
        <v>77</v>
      </c>
      <c r="N46" t="s">
        <v>101</v>
      </c>
    </row>
    <row r="47" spans="1:14" x14ac:dyDescent="0.25">
      <c r="A47">
        <v>18</v>
      </c>
      <c r="B47" t="s">
        <v>107</v>
      </c>
      <c r="C47">
        <v>2000</v>
      </c>
      <c r="D47">
        <v>12</v>
      </c>
      <c r="E47">
        <v>24000</v>
      </c>
      <c r="F47" t="s">
        <v>108</v>
      </c>
      <c r="G47">
        <v>5.5</v>
      </c>
      <c r="H47">
        <v>8</v>
      </c>
      <c r="I47">
        <v>2.5</v>
      </c>
      <c r="J47">
        <v>7.156305710884955</v>
      </c>
      <c r="K47">
        <v>1000</v>
      </c>
      <c r="L47" t="s">
        <v>106</v>
      </c>
      <c r="M47" t="s">
        <v>71</v>
      </c>
      <c r="N47" t="s">
        <v>101</v>
      </c>
    </row>
    <row r="48" spans="1:14" x14ac:dyDescent="0.25">
      <c r="A48">
        <v>18</v>
      </c>
      <c r="B48" t="s">
        <v>107</v>
      </c>
      <c r="C48">
        <v>2400</v>
      </c>
      <c r="D48">
        <v>0.6</v>
      </c>
      <c r="E48">
        <v>1440</v>
      </c>
      <c r="F48" t="s">
        <v>108</v>
      </c>
      <c r="G48">
        <v>5.5</v>
      </c>
      <c r="H48">
        <v>8</v>
      </c>
      <c r="I48">
        <v>2.5</v>
      </c>
      <c r="J48">
        <v>6.2792776902235277</v>
      </c>
      <c r="K48">
        <v>1200</v>
      </c>
      <c r="L48" t="s">
        <v>109</v>
      </c>
      <c r="M48" t="s">
        <v>76</v>
      </c>
      <c r="N48" t="s">
        <v>101</v>
      </c>
    </row>
    <row r="49" spans="1:14" x14ac:dyDescent="0.25">
      <c r="A49">
        <v>18</v>
      </c>
      <c r="B49" t="s">
        <v>107</v>
      </c>
      <c r="C49">
        <v>2400</v>
      </c>
      <c r="D49">
        <v>0.6</v>
      </c>
      <c r="E49">
        <v>1440</v>
      </c>
      <c r="F49" t="s">
        <v>108</v>
      </c>
      <c r="G49">
        <v>5.5</v>
      </c>
      <c r="H49">
        <v>8</v>
      </c>
      <c r="I49">
        <v>2.5</v>
      </c>
      <c r="J49">
        <v>6.8001700529445266</v>
      </c>
      <c r="K49">
        <v>1200</v>
      </c>
      <c r="L49" t="s">
        <v>110</v>
      </c>
      <c r="M49" t="s">
        <v>76</v>
      </c>
      <c r="N49" t="s">
        <v>101</v>
      </c>
    </row>
    <row r="50" spans="1:14" x14ac:dyDescent="0.25">
      <c r="A50">
        <v>37</v>
      </c>
      <c r="B50" t="s">
        <v>111</v>
      </c>
      <c r="C50">
        <v>3000</v>
      </c>
      <c r="D50">
        <v>12</v>
      </c>
      <c r="E50">
        <v>36000</v>
      </c>
      <c r="F50" t="s">
        <v>31</v>
      </c>
      <c r="G50">
        <v>2.5</v>
      </c>
      <c r="H50">
        <v>4</v>
      </c>
      <c r="I50">
        <v>1.5</v>
      </c>
      <c r="J50">
        <v>3.3200654190149188</v>
      </c>
      <c r="K50">
        <v>500</v>
      </c>
      <c r="L50" t="s">
        <v>106</v>
      </c>
      <c r="M50" t="s">
        <v>71</v>
      </c>
      <c r="N50" t="s">
        <v>73</v>
      </c>
    </row>
    <row r="51" spans="1:14" x14ac:dyDescent="0.25">
      <c r="A51">
        <v>16</v>
      </c>
      <c r="B51" t="s">
        <v>113</v>
      </c>
      <c r="C51">
        <v>500</v>
      </c>
      <c r="D51">
        <v>22</v>
      </c>
      <c r="E51">
        <v>11000</v>
      </c>
      <c r="F51" t="s">
        <v>36</v>
      </c>
      <c r="G51">
        <v>6</v>
      </c>
      <c r="H51">
        <v>8</v>
      </c>
      <c r="I51">
        <v>2</v>
      </c>
      <c r="J51">
        <v>6.3697089110510543</v>
      </c>
      <c r="K51">
        <v>680</v>
      </c>
      <c r="L51" t="s">
        <v>112</v>
      </c>
      <c r="M51" t="s">
        <v>71</v>
      </c>
      <c r="N51" t="s">
        <v>15</v>
      </c>
    </row>
    <row r="52" spans="1:14" x14ac:dyDescent="0.25">
      <c r="A52">
        <v>16</v>
      </c>
      <c r="B52" t="s">
        <v>113</v>
      </c>
      <c r="C52">
        <v>500</v>
      </c>
      <c r="D52">
        <v>20</v>
      </c>
      <c r="E52">
        <v>10000</v>
      </c>
      <c r="F52" t="s">
        <v>36</v>
      </c>
      <c r="G52">
        <v>6</v>
      </c>
      <c r="H52">
        <v>8</v>
      </c>
      <c r="I52">
        <v>2</v>
      </c>
      <c r="J52">
        <v>7.9391692555291176</v>
      </c>
      <c r="K52">
        <v>680</v>
      </c>
      <c r="L52" t="s">
        <v>114</v>
      </c>
      <c r="M52" t="s">
        <v>71</v>
      </c>
      <c r="N52" t="s">
        <v>15</v>
      </c>
    </row>
    <row r="53" spans="1:14" x14ac:dyDescent="0.25">
      <c r="A53">
        <v>38</v>
      </c>
      <c r="B53" t="s">
        <v>115</v>
      </c>
      <c r="C53">
        <v>5000</v>
      </c>
      <c r="D53">
        <v>0.6</v>
      </c>
      <c r="E53">
        <v>3000</v>
      </c>
      <c r="F53" t="s">
        <v>117</v>
      </c>
      <c r="G53">
        <v>50</v>
      </c>
      <c r="H53">
        <v>65</v>
      </c>
      <c r="I53">
        <v>15</v>
      </c>
      <c r="J53">
        <v>61.626992350416707</v>
      </c>
      <c r="K53">
        <v>3000</v>
      </c>
      <c r="L53" t="s">
        <v>109</v>
      </c>
      <c r="M53" t="s">
        <v>76</v>
      </c>
      <c r="N53" t="s">
        <v>116</v>
      </c>
    </row>
    <row r="54" spans="1:14" x14ac:dyDescent="0.25">
      <c r="A54">
        <v>38</v>
      </c>
      <c r="B54" t="s">
        <v>115</v>
      </c>
      <c r="C54">
        <v>5000</v>
      </c>
      <c r="D54">
        <v>0.6</v>
      </c>
      <c r="E54">
        <v>3000</v>
      </c>
      <c r="F54" t="s">
        <v>117</v>
      </c>
      <c r="G54">
        <v>50</v>
      </c>
      <c r="H54">
        <v>65</v>
      </c>
      <c r="I54">
        <v>15</v>
      </c>
      <c r="J54">
        <v>64.092484123462839</v>
      </c>
      <c r="K54">
        <v>3000</v>
      </c>
      <c r="L54" t="s">
        <v>118</v>
      </c>
      <c r="M54" t="s">
        <v>76</v>
      </c>
      <c r="N54" t="s">
        <v>116</v>
      </c>
    </row>
    <row r="55" spans="1:14" x14ac:dyDescent="0.25">
      <c r="A55">
        <v>38</v>
      </c>
      <c r="B55" t="s">
        <v>115</v>
      </c>
      <c r="C55">
        <v>5000</v>
      </c>
      <c r="D55">
        <v>0.6</v>
      </c>
      <c r="E55">
        <v>3000</v>
      </c>
      <c r="F55" t="s">
        <v>117</v>
      </c>
      <c r="G55">
        <v>50</v>
      </c>
      <c r="H55">
        <v>65</v>
      </c>
      <c r="I55">
        <v>15</v>
      </c>
      <c r="J55">
        <v>63.422410256414743</v>
      </c>
      <c r="K55">
        <v>3000</v>
      </c>
      <c r="L55" t="s">
        <v>119</v>
      </c>
      <c r="M55" t="s">
        <v>76</v>
      </c>
      <c r="N55" t="s">
        <v>116</v>
      </c>
    </row>
    <row r="56" spans="1:14" x14ac:dyDescent="0.25">
      <c r="A56">
        <v>41</v>
      </c>
      <c r="B56" t="s">
        <v>120</v>
      </c>
      <c r="C56">
        <v>1000</v>
      </c>
      <c r="D56">
        <v>0.6</v>
      </c>
      <c r="E56">
        <v>600</v>
      </c>
      <c r="F56" t="s">
        <v>121</v>
      </c>
      <c r="G56">
        <v>80</v>
      </c>
      <c r="H56">
        <v>120</v>
      </c>
      <c r="I56">
        <v>40</v>
      </c>
      <c r="J56">
        <v>103.9159991524434</v>
      </c>
      <c r="K56">
        <v>10000</v>
      </c>
      <c r="L56" t="s">
        <v>104</v>
      </c>
      <c r="M56" t="s">
        <v>76</v>
      </c>
      <c r="N56" t="s">
        <v>116</v>
      </c>
    </row>
    <row r="57" spans="1:14" x14ac:dyDescent="0.25">
      <c r="A57">
        <v>41</v>
      </c>
      <c r="B57" t="s">
        <v>120</v>
      </c>
      <c r="C57">
        <v>1000</v>
      </c>
      <c r="D57">
        <v>0.6</v>
      </c>
      <c r="E57">
        <v>600</v>
      </c>
      <c r="F57" t="s">
        <v>121</v>
      </c>
      <c r="G57">
        <v>80</v>
      </c>
      <c r="H57">
        <v>120</v>
      </c>
      <c r="I57">
        <v>40</v>
      </c>
      <c r="J57">
        <v>116.8749694009247</v>
      </c>
      <c r="K57">
        <v>10000</v>
      </c>
      <c r="L57" t="s">
        <v>105</v>
      </c>
      <c r="M57" t="s">
        <v>76</v>
      </c>
      <c r="N57" t="s">
        <v>116</v>
      </c>
    </row>
    <row r="58" spans="1:14" x14ac:dyDescent="0.25">
      <c r="A58">
        <v>41</v>
      </c>
      <c r="B58" t="s">
        <v>120</v>
      </c>
      <c r="C58">
        <v>1000</v>
      </c>
      <c r="D58">
        <v>0.6</v>
      </c>
      <c r="E58">
        <v>600</v>
      </c>
      <c r="F58" t="s">
        <v>121</v>
      </c>
      <c r="G58">
        <v>80</v>
      </c>
      <c r="H58">
        <v>120</v>
      </c>
      <c r="I58">
        <v>40</v>
      </c>
      <c r="J58">
        <v>83.539700082076777</v>
      </c>
      <c r="K58">
        <v>10000</v>
      </c>
      <c r="L58" t="s">
        <v>98</v>
      </c>
      <c r="M58" t="s">
        <v>76</v>
      </c>
      <c r="N58" t="s">
        <v>116</v>
      </c>
    </row>
    <row r="59" spans="1:14" x14ac:dyDescent="0.25">
      <c r="A59">
        <v>41</v>
      </c>
      <c r="B59" t="s">
        <v>120</v>
      </c>
      <c r="C59">
        <v>1000</v>
      </c>
      <c r="D59">
        <v>0.6</v>
      </c>
      <c r="E59">
        <v>600</v>
      </c>
      <c r="F59" t="s">
        <v>121</v>
      </c>
      <c r="G59">
        <v>80</v>
      </c>
      <c r="H59">
        <v>120</v>
      </c>
      <c r="I59">
        <v>40</v>
      </c>
      <c r="J59">
        <v>87.839314496765809</v>
      </c>
      <c r="K59">
        <v>10000</v>
      </c>
      <c r="L59" t="s">
        <v>94</v>
      </c>
      <c r="M59" t="s">
        <v>76</v>
      </c>
      <c r="N59" t="s">
        <v>116</v>
      </c>
    </row>
    <row r="60" spans="1:14" x14ac:dyDescent="0.25">
      <c r="A60">
        <v>41</v>
      </c>
      <c r="B60" t="s">
        <v>120</v>
      </c>
      <c r="C60">
        <v>1000</v>
      </c>
      <c r="D60">
        <v>0.6</v>
      </c>
      <c r="E60">
        <v>600</v>
      </c>
      <c r="F60" t="s">
        <v>121</v>
      </c>
      <c r="G60">
        <v>80</v>
      </c>
      <c r="H60">
        <v>120</v>
      </c>
      <c r="I60">
        <v>40</v>
      </c>
      <c r="J60">
        <v>81.809091556421521</v>
      </c>
      <c r="K60">
        <v>10000</v>
      </c>
      <c r="L60" t="s">
        <v>122</v>
      </c>
      <c r="M60" t="s">
        <v>76</v>
      </c>
      <c r="N60" t="s">
        <v>116</v>
      </c>
    </row>
    <row r="61" spans="1:14" x14ac:dyDescent="0.25">
      <c r="A61">
        <v>41</v>
      </c>
      <c r="B61" t="s">
        <v>120</v>
      </c>
      <c r="C61">
        <v>1000</v>
      </c>
      <c r="D61">
        <v>0.6</v>
      </c>
      <c r="E61">
        <v>600</v>
      </c>
      <c r="F61" t="s">
        <v>121</v>
      </c>
      <c r="G61">
        <v>80</v>
      </c>
      <c r="H61">
        <v>120</v>
      </c>
      <c r="I61">
        <v>40</v>
      </c>
      <c r="J61">
        <v>93.013213230530567</v>
      </c>
      <c r="K61">
        <v>10000</v>
      </c>
      <c r="L61" t="s">
        <v>123</v>
      </c>
      <c r="M61" t="s">
        <v>76</v>
      </c>
      <c r="N61" t="s">
        <v>116</v>
      </c>
    </row>
    <row r="62" spans="1:14" x14ac:dyDescent="0.25">
      <c r="A62">
        <v>41</v>
      </c>
      <c r="B62" t="s">
        <v>120</v>
      </c>
      <c r="C62">
        <v>1000</v>
      </c>
      <c r="D62">
        <v>0.6</v>
      </c>
      <c r="E62">
        <v>600</v>
      </c>
      <c r="F62" t="s">
        <v>121</v>
      </c>
      <c r="G62">
        <v>80</v>
      </c>
      <c r="H62">
        <v>120</v>
      </c>
      <c r="I62">
        <v>40</v>
      </c>
      <c r="J62">
        <v>95.547091587579274</v>
      </c>
      <c r="K62">
        <v>10000</v>
      </c>
      <c r="L62" t="s">
        <v>124</v>
      </c>
      <c r="M62" t="s">
        <v>76</v>
      </c>
      <c r="N62" t="s">
        <v>116</v>
      </c>
    </row>
    <row r="63" spans="1:14" x14ac:dyDescent="0.25">
      <c r="A63">
        <v>29</v>
      </c>
      <c r="B63" t="s">
        <v>125</v>
      </c>
      <c r="C63">
        <v>15000</v>
      </c>
      <c r="D63">
        <v>0.6</v>
      </c>
      <c r="E63">
        <v>9000</v>
      </c>
      <c r="F63" t="s">
        <v>36</v>
      </c>
      <c r="G63">
        <v>6</v>
      </c>
      <c r="H63">
        <v>8</v>
      </c>
      <c r="I63">
        <v>2</v>
      </c>
      <c r="J63">
        <v>6.5426980635477916</v>
      </c>
      <c r="K63">
        <v>3500</v>
      </c>
      <c r="L63" t="s">
        <v>122</v>
      </c>
      <c r="M63" t="s">
        <v>76</v>
      </c>
      <c r="N63" t="s">
        <v>73</v>
      </c>
    </row>
    <row r="64" spans="1:14" x14ac:dyDescent="0.25">
      <c r="A64">
        <v>29</v>
      </c>
      <c r="B64" t="s">
        <v>125</v>
      </c>
      <c r="C64">
        <v>13500</v>
      </c>
      <c r="D64">
        <v>0.3</v>
      </c>
      <c r="E64">
        <v>4050</v>
      </c>
      <c r="F64" t="s">
        <v>126</v>
      </c>
      <c r="G64">
        <v>7.2</v>
      </c>
      <c r="H64">
        <v>9.6</v>
      </c>
      <c r="I64">
        <v>2.399999999999999</v>
      </c>
      <c r="J64">
        <v>9.1889700219646304</v>
      </c>
      <c r="K64">
        <v>3850</v>
      </c>
      <c r="L64" t="s">
        <v>99</v>
      </c>
      <c r="M64" t="s">
        <v>77</v>
      </c>
      <c r="N64" t="s">
        <v>73</v>
      </c>
    </row>
    <row r="65" spans="1:14" x14ac:dyDescent="0.25">
      <c r="A65">
        <v>27</v>
      </c>
      <c r="B65" t="s">
        <v>127</v>
      </c>
      <c r="C65">
        <v>5000</v>
      </c>
      <c r="D65">
        <v>0.3</v>
      </c>
      <c r="E65">
        <v>1500</v>
      </c>
      <c r="F65" t="s">
        <v>128</v>
      </c>
      <c r="G65">
        <v>4</v>
      </c>
      <c r="H65">
        <v>6</v>
      </c>
      <c r="I65">
        <v>2</v>
      </c>
      <c r="J65">
        <v>4.7135066533871788</v>
      </c>
      <c r="K65">
        <v>2000</v>
      </c>
      <c r="L65" t="s">
        <v>123</v>
      </c>
      <c r="M65" t="s">
        <v>76</v>
      </c>
      <c r="N65" t="s">
        <v>73</v>
      </c>
    </row>
    <row r="66" spans="1:14" x14ac:dyDescent="0.25">
      <c r="A66">
        <v>27</v>
      </c>
      <c r="B66" t="s">
        <v>127</v>
      </c>
      <c r="C66">
        <v>5000</v>
      </c>
      <c r="D66">
        <v>0.6</v>
      </c>
      <c r="E66">
        <v>3000</v>
      </c>
      <c r="F66" t="s">
        <v>128</v>
      </c>
      <c r="G66">
        <v>4</v>
      </c>
      <c r="H66">
        <v>6</v>
      </c>
      <c r="I66">
        <v>2</v>
      </c>
      <c r="J66">
        <v>4.5618690193747611</v>
      </c>
      <c r="K66">
        <v>2000</v>
      </c>
      <c r="L66" t="s">
        <v>129</v>
      </c>
      <c r="M66" t="s">
        <v>76</v>
      </c>
      <c r="N66" t="s">
        <v>73</v>
      </c>
    </row>
    <row r="67" spans="1:14" x14ac:dyDescent="0.25">
      <c r="A67">
        <v>31</v>
      </c>
      <c r="B67" t="s">
        <v>131</v>
      </c>
      <c r="C67">
        <v>2000</v>
      </c>
      <c r="D67">
        <v>0.6</v>
      </c>
      <c r="E67">
        <v>1200</v>
      </c>
      <c r="F67" t="s">
        <v>132</v>
      </c>
      <c r="G67">
        <v>6</v>
      </c>
      <c r="H67">
        <v>8.5</v>
      </c>
      <c r="I67">
        <v>2.5</v>
      </c>
      <c r="J67">
        <v>7.356740207895621</v>
      </c>
      <c r="K67">
        <v>1200</v>
      </c>
      <c r="L67" t="s">
        <v>124</v>
      </c>
      <c r="M67" t="s">
        <v>76</v>
      </c>
      <c r="N67" t="s">
        <v>73</v>
      </c>
    </row>
    <row r="68" spans="1:14" x14ac:dyDescent="0.25">
      <c r="A68">
        <v>30</v>
      </c>
      <c r="B68" t="s">
        <v>130</v>
      </c>
      <c r="C68">
        <v>5000</v>
      </c>
      <c r="D68">
        <v>0.3</v>
      </c>
      <c r="E68">
        <v>1500</v>
      </c>
      <c r="F68" t="s">
        <v>156</v>
      </c>
      <c r="G68">
        <v>4.5</v>
      </c>
      <c r="H68">
        <v>6</v>
      </c>
      <c r="I68">
        <v>1.5</v>
      </c>
      <c r="J68">
        <v>4.7113863374621436</v>
      </c>
      <c r="K68">
        <v>2000</v>
      </c>
      <c r="L68" t="s">
        <v>123</v>
      </c>
      <c r="M68" t="s">
        <v>76</v>
      </c>
      <c r="N68" t="s">
        <v>73</v>
      </c>
    </row>
    <row r="69" spans="1:14" x14ac:dyDescent="0.25">
      <c r="A69">
        <v>24</v>
      </c>
      <c r="B69" t="s">
        <v>133</v>
      </c>
      <c r="C69">
        <v>3000</v>
      </c>
      <c r="D69">
        <v>0.6</v>
      </c>
      <c r="E69">
        <v>1800</v>
      </c>
      <c r="F69" t="s">
        <v>134</v>
      </c>
      <c r="G69">
        <v>4</v>
      </c>
      <c r="H69">
        <v>6.5</v>
      </c>
      <c r="I69">
        <v>2.5</v>
      </c>
      <c r="J69">
        <v>6.0054924518850994</v>
      </c>
      <c r="K69">
        <v>2000</v>
      </c>
      <c r="L69" t="s">
        <v>118</v>
      </c>
      <c r="M69" t="s">
        <v>76</v>
      </c>
      <c r="N69" t="s">
        <v>73</v>
      </c>
    </row>
    <row r="70" spans="1:14" x14ac:dyDescent="0.25">
      <c r="A70">
        <v>24</v>
      </c>
      <c r="B70" t="s">
        <v>133</v>
      </c>
      <c r="C70">
        <v>2700</v>
      </c>
      <c r="D70">
        <v>0.3</v>
      </c>
      <c r="E70">
        <v>810</v>
      </c>
      <c r="F70" t="s">
        <v>135</v>
      </c>
      <c r="G70">
        <v>5.8</v>
      </c>
      <c r="H70">
        <v>7.8</v>
      </c>
      <c r="I70">
        <v>2</v>
      </c>
      <c r="J70">
        <v>5.9491012873595412</v>
      </c>
      <c r="K70">
        <v>2200</v>
      </c>
      <c r="L70" t="s">
        <v>95</v>
      </c>
      <c r="M70" t="s">
        <v>77</v>
      </c>
      <c r="N70" t="s">
        <v>73</v>
      </c>
    </row>
    <row r="71" spans="1:14" x14ac:dyDescent="0.25">
      <c r="A71">
        <v>25</v>
      </c>
      <c r="B71" t="s">
        <v>136</v>
      </c>
      <c r="C71">
        <v>4000</v>
      </c>
      <c r="D71">
        <v>0.6</v>
      </c>
      <c r="E71">
        <v>2400</v>
      </c>
      <c r="F71" t="s">
        <v>48</v>
      </c>
      <c r="G71">
        <v>5</v>
      </c>
      <c r="H71">
        <v>6</v>
      </c>
      <c r="I71">
        <v>1</v>
      </c>
      <c r="J71">
        <v>5.9868869366005173</v>
      </c>
      <c r="K71">
        <v>3000</v>
      </c>
      <c r="L71" t="s">
        <v>119</v>
      </c>
      <c r="M71" t="s">
        <v>76</v>
      </c>
      <c r="N71" t="s">
        <v>73</v>
      </c>
    </row>
    <row r="72" spans="1:14" x14ac:dyDescent="0.25">
      <c r="A72">
        <v>25</v>
      </c>
      <c r="B72" t="s">
        <v>136</v>
      </c>
      <c r="C72">
        <v>3600</v>
      </c>
      <c r="D72">
        <v>0.3</v>
      </c>
      <c r="E72">
        <v>1080</v>
      </c>
      <c r="F72" t="s">
        <v>97</v>
      </c>
      <c r="G72">
        <v>6</v>
      </c>
      <c r="H72">
        <v>7.2</v>
      </c>
      <c r="I72">
        <v>1.2</v>
      </c>
      <c r="J72">
        <v>6.9266937231559886</v>
      </c>
      <c r="K72">
        <v>3300</v>
      </c>
      <c r="L72" t="s">
        <v>99</v>
      </c>
      <c r="M72" t="s">
        <v>77</v>
      </c>
      <c r="N72" t="s">
        <v>73</v>
      </c>
    </row>
    <row r="73" spans="1:14" x14ac:dyDescent="0.25">
      <c r="A73">
        <v>39</v>
      </c>
      <c r="B73" t="s">
        <v>138</v>
      </c>
      <c r="C73">
        <v>4000</v>
      </c>
      <c r="D73">
        <v>0.6</v>
      </c>
      <c r="E73">
        <v>2400</v>
      </c>
      <c r="F73" t="s">
        <v>139</v>
      </c>
      <c r="G73">
        <v>18</v>
      </c>
      <c r="H73">
        <v>20</v>
      </c>
      <c r="I73">
        <v>2</v>
      </c>
      <c r="J73">
        <v>18.39743136306835</v>
      </c>
      <c r="K73">
        <v>2000</v>
      </c>
      <c r="L73" t="s">
        <v>137</v>
      </c>
      <c r="M73" t="s">
        <v>76</v>
      </c>
      <c r="N73" t="s">
        <v>116</v>
      </c>
    </row>
    <row r="74" spans="1:14" x14ac:dyDescent="0.25">
      <c r="A74">
        <v>39</v>
      </c>
      <c r="B74" t="s">
        <v>138</v>
      </c>
      <c r="C74">
        <v>4000</v>
      </c>
      <c r="D74">
        <v>0.6</v>
      </c>
      <c r="E74">
        <v>2400</v>
      </c>
      <c r="F74" t="s">
        <v>139</v>
      </c>
      <c r="G74">
        <v>18</v>
      </c>
      <c r="H74">
        <v>20</v>
      </c>
      <c r="I74">
        <v>2</v>
      </c>
      <c r="J74">
        <v>18.011044234247201</v>
      </c>
      <c r="K74">
        <v>2000</v>
      </c>
      <c r="L74" t="s">
        <v>89</v>
      </c>
      <c r="M74" t="s">
        <v>76</v>
      </c>
      <c r="N74" t="s">
        <v>116</v>
      </c>
    </row>
    <row r="75" spans="1:14" x14ac:dyDescent="0.25">
      <c r="A75">
        <v>39</v>
      </c>
      <c r="B75" t="s">
        <v>138</v>
      </c>
      <c r="C75">
        <v>4000</v>
      </c>
      <c r="D75">
        <v>0.6</v>
      </c>
      <c r="E75">
        <v>2400</v>
      </c>
      <c r="F75" t="s">
        <v>139</v>
      </c>
      <c r="G75">
        <v>18</v>
      </c>
      <c r="H75">
        <v>20</v>
      </c>
      <c r="I75">
        <v>2</v>
      </c>
      <c r="J75">
        <v>19.63092285690967</v>
      </c>
      <c r="K75">
        <v>2000</v>
      </c>
      <c r="L75" t="s">
        <v>129</v>
      </c>
      <c r="M75" t="s">
        <v>76</v>
      </c>
      <c r="N75" t="s">
        <v>116</v>
      </c>
    </row>
    <row r="76" spans="1:14" x14ac:dyDescent="0.25">
      <c r="A76">
        <v>26</v>
      </c>
      <c r="B76" t="s">
        <v>140</v>
      </c>
      <c r="C76">
        <v>4500</v>
      </c>
      <c r="D76">
        <v>0.6</v>
      </c>
      <c r="E76">
        <v>2700</v>
      </c>
      <c r="F76" t="s">
        <v>141</v>
      </c>
      <c r="G76">
        <v>5.5</v>
      </c>
      <c r="H76">
        <v>7.5</v>
      </c>
      <c r="I76">
        <v>2</v>
      </c>
      <c r="J76">
        <v>6.9137146876952347</v>
      </c>
      <c r="K76">
        <v>3500</v>
      </c>
      <c r="L76" t="s">
        <v>137</v>
      </c>
      <c r="M76" t="s">
        <v>76</v>
      </c>
      <c r="N76" t="s">
        <v>73</v>
      </c>
    </row>
    <row r="77" spans="1:14" x14ac:dyDescent="0.25">
      <c r="A77">
        <v>26</v>
      </c>
      <c r="B77" t="s">
        <v>140</v>
      </c>
      <c r="C77">
        <v>4100</v>
      </c>
      <c r="D77">
        <v>0.3</v>
      </c>
      <c r="E77">
        <v>1230</v>
      </c>
      <c r="F77" t="s">
        <v>142</v>
      </c>
      <c r="G77">
        <v>6.6</v>
      </c>
      <c r="H77">
        <v>9</v>
      </c>
      <c r="I77">
        <v>2.4</v>
      </c>
      <c r="J77">
        <v>8.3496172032983687</v>
      </c>
      <c r="K77">
        <v>3850</v>
      </c>
      <c r="L77" t="s">
        <v>99</v>
      </c>
      <c r="M77" t="s">
        <v>77</v>
      </c>
      <c r="N77" t="s">
        <v>73</v>
      </c>
    </row>
    <row r="78" spans="1:14" x14ac:dyDescent="0.25">
      <c r="A78">
        <v>40</v>
      </c>
      <c r="B78" t="s">
        <v>144</v>
      </c>
      <c r="C78">
        <v>10000</v>
      </c>
      <c r="D78">
        <v>0.6</v>
      </c>
      <c r="E78">
        <v>6000</v>
      </c>
      <c r="F78" t="s">
        <v>145</v>
      </c>
      <c r="G78">
        <v>14</v>
      </c>
      <c r="H78">
        <v>18</v>
      </c>
      <c r="I78">
        <v>4</v>
      </c>
      <c r="J78">
        <v>17.085081386743781</v>
      </c>
      <c r="K78">
        <v>10000</v>
      </c>
      <c r="L78" t="s">
        <v>143</v>
      </c>
      <c r="M78" t="s">
        <v>76</v>
      </c>
      <c r="N78" t="s">
        <v>116</v>
      </c>
    </row>
    <row r="79" spans="1:14" x14ac:dyDescent="0.25">
      <c r="A79">
        <v>40</v>
      </c>
      <c r="B79" t="s">
        <v>144</v>
      </c>
      <c r="C79">
        <v>10000</v>
      </c>
      <c r="D79">
        <v>0.6</v>
      </c>
      <c r="E79">
        <v>6000</v>
      </c>
      <c r="F79" t="s">
        <v>145</v>
      </c>
      <c r="G79">
        <v>14</v>
      </c>
      <c r="H79">
        <v>18</v>
      </c>
      <c r="I79">
        <v>4</v>
      </c>
      <c r="J79">
        <v>14.29617860693636</v>
      </c>
      <c r="K79">
        <v>10000</v>
      </c>
      <c r="L79" t="s">
        <v>146</v>
      </c>
      <c r="M79" t="s">
        <v>76</v>
      </c>
      <c r="N79" t="s">
        <v>116</v>
      </c>
    </row>
    <row r="80" spans="1:14" x14ac:dyDescent="0.25">
      <c r="A80">
        <v>40</v>
      </c>
      <c r="B80" t="s">
        <v>144</v>
      </c>
      <c r="C80">
        <v>10000</v>
      </c>
      <c r="D80">
        <v>0.6</v>
      </c>
      <c r="E80">
        <v>6000</v>
      </c>
      <c r="F80" t="s">
        <v>145</v>
      </c>
      <c r="G80">
        <v>14</v>
      </c>
      <c r="H80">
        <v>18</v>
      </c>
      <c r="I80">
        <v>4</v>
      </c>
      <c r="J80">
        <v>15.433862914177091</v>
      </c>
      <c r="K80">
        <v>10000</v>
      </c>
      <c r="L80" t="s">
        <v>110</v>
      </c>
      <c r="M80" t="s">
        <v>76</v>
      </c>
      <c r="N80" t="s">
        <v>116</v>
      </c>
    </row>
    <row r="81" spans="1:14" x14ac:dyDescent="0.25">
      <c r="A81">
        <v>19</v>
      </c>
      <c r="B81" t="s">
        <v>147</v>
      </c>
      <c r="C81">
        <v>3600</v>
      </c>
      <c r="D81">
        <v>0.6</v>
      </c>
      <c r="E81">
        <v>2160</v>
      </c>
      <c r="F81" t="s">
        <v>148</v>
      </c>
      <c r="G81">
        <v>5</v>
      </c>
      <c r="H81">
        <v>8</v>
      </c>
      <c r="I81">
        <v>3</v>
      </c>
      <c r="J81">
        <v>5.3476071785753891</v>
      </c>
      <c r="K81">
        <v>2400</v>
      </c>
      <c r="L81" t="s">
        <v>143</v>
      </c>
      <c r="M81" t="s">
        <v>76</v>
      </c>
      <c r="N81" t="s">
        <v>101</v>
      </c>
    </row>
    <row r="82" spans="1:14" x14ac:dyDescent="0.25">
      <c r="A82">
        <v>19</v>
      </c>
      <c r="B82" t="s">
        <v>147</v>
      </c>
      <c r="C82">
        <v>3600</v>
      </c>
      <c r="D82">
        <v>0.6</v>
      </c>
      <c r="E82">
        <v>2160</v>
      </c>
      <c r="F82" t="s">
        <v>148</v>
      </c>
      <c r="G82">
        <v>5</v>
      </c>
      <c r="H82">
        <v>8</v>
      </c>
      <c r="I82">
        <v>3</v>
      </c>
      <c r="J82">
        <v>7.5893102776267796</v>
      </c>
      <c r="K82">
        <v>2400</v>
      </c>
      <c r="L82" t="s">
        <v>146</v>
      </c>
      <c r="M82" t="s">
        <v>76</v>
      </c>
      <c r="N82" t="s">
        <v>101</v>
      </c>
    </row>
    <row r="83" spans="1:14" x14ac:dyDescent="0.25">
      <c r="A83">
        <v>19</v>
      </c>
      <c r="B83" t="s">
        <v>147</v>
      </c>
      <c r="C83">
        <v>3200</v>
      </c>
      <c r="D83">
        <v>0.6</v>
      </c>
      <c r="E83">
        <v>1920</v>
      </c>
      <c r="F83" t="s">
        <v>149</v>
      </c>
      <c r="G83">
        <v>6</v>
      </c>
      <c r="H83">
        <v>9.6</v>
      </c>
      <c r="I83">
        <v>3.6</v>
      </c>
      <c r="J83">
        <v>8.2438732565792083</v>
      </c>
      <c r="K83">
        <v>2640</v>
      </c>
      <c r="L83" t="s">
        <v>150</v>
      </c>
      <c r="M83" t="s">
        <v>77</v>
      </c>
      <c r="N83" t="s">
        <v>101</v>
      </c>
    </row>
    <row r="84" spans="1:14" x14ac:dyDescent="0.25">
      <c r="A84">
        <v>32</v>
      </c>
      <c r="B84" t="s">
        <v>151</v>
      </c>
      <c r="C84">
        <v>11000</v>
      </c>
      <c r="D84">
        <v>0.3</v>
      </c>
      <c r="E84">
        <v>3300</v>
      </c>
      <c r="F84" t="s">
        <v>152</v>
      </c>
      <c r="G84">
        <v>3.6</v>
      </c>
      <c r="H84">
        <v>7.2</v>
      </c>
      <c r="I84">
        <v>3.6</v>
      </c>
      <c r="J84">
        <v>4.7912328894695371</v>
      </c>
      <c r="K84">
        <v>5500</v>
      </c>
      <c r="L84" t="s">
        <v>95</v>
      </c>
      <c r="M84" t="s">
        <v>77</v>
      </c>
      <c r="N84" t="s">
        <v>73</v>
      </c>
    </row>
    <row r="85" spans="1:14" x14ac:dyDescent="0.25">
      <c r="A85">
        <v>33</v>
      </c>
      <c r="B85" t="s">
        <v>153</v>
      </c>
      <c r="C85">
        <v>5400</v>
      </c>
      <c r="D85">
        <v>0.3</v>
      </c>
      <c r="E85">
        <v>1620</v>
      </c>
      <c r="F85" t="s">
        <v>154</v>
      </c>
      <c r="G85">
        <v>4.8</v>
      </c>
      <c r="H85">
        <v>6</v>
      </c>
      <c r="I85">
        <v>1.2</v>
      </c>
      <c r="J85">
        <v>4.8762700203432283</v>
      </c>
      <c r="K85">
        <v>2750</v>
      </c>
      <c r="L85" t="s">
        <v>95</v>
      </c>
      <c r="M85" t="s">
        <v>77</v>
      </c>
      <c r="N85" t="s">
        <v>73</v>
      </c>
    </row>
    <row r="86" spans="1:14" x14ac:dyDescent="0.25">
      <c r="A86">
        <v>30</v>
      </c>
      <c r="B86" t="s">
        <v>155</v>
      </c>
      <c r="C86">
        <v>4500</v>
      </c>
      <c r="D86">
        <v>0.3</v>
      </c>
      <c r="E86">
        <v>1350</v>
      </c>
      <c r="F86" t="s">
        <v>157</v>
      </c>
      <c r="G86">
        <v>5.4</v>
      </c>
      <c r="H86">
        <v>7.2</v>
      </c>
      <c r="I86">
        <v>1.8</v>
      </c>
      <c r="J86">
        <v>5.9597681790881927</v>
      </c>
      <c r="K86">
        <v>2200</v>
      </c>
      <c r="L86" t="s">
        <v>90</v>
      </c>
      <c r="M86" t="s">
        <v>77</v>
      </c>
      <c r="N86" t="s">
        <v>73</v>
      </c>
    </row>
    <row r="87" spans="1:14" x14ac:dyDescent="0.25">
      <c r="A87">
        <v>34</v>
      </c>
      <c r="B87" t="s">
        <v>158</v>
      </c>
      <c r="C87">
        <v>6000</v>
      </c>
      <c r="D87">
        <v>0.3</v>
      </c>
      <c r="E87">
        <v>1800</v>
      </c>
      <c r="F87" t="s">
        <v>159</v>
      </c>
      <c r="G87">
        <v>3.8</v>
      </c>
      <c r="H87">
        <v>5.8</v>
      </c>
      <c r="I87">
        <v>2</v>
      </c>
      <c r="J87">
        <v>4.4503666440534939</v>
      </c>
      <c r="K87">
        <v>1200</v>
      </c>
      <c r="L87" t="s">
        <v>150</v>
      </c>
      <c r="M87" t="s">
        <v>77</v>
      </c>
      <c r="N87" t="s">
        <v>73</v>
      </c>
    </row>
    <row r="88" spans="1:14" x14ac:dyDescent="0.25">
      <c r="A88">
        <v>23</v>
      </c>
      <c r="B88" t="s">
        <v>160</v>
      </c>
      <c r="C88">
        <v>3000</v>
      </c>
      <c r="D88">
        <v>0.3</v>
      </c>
      <c r="E88">
        <v>900</v>
      </c>
      <c r="F88" t="s">
        <v>161</v>
      </c>
      <c r="G88">
        <v>5.8</v>
      </c>
      <c r="H88">
        <v>8</v>
      </c>
      <c r="I88">
        <v>2.2000000000000002</v>
      </c>
      <c r="J88">
        <v>7.4051335923437414</v>
      </c>
      <c r="K88">
        <v>3000</v>
      </c>
      <c r="L88" t="s">
        <v>150</v>
      </c>
      <c r="M88" t="s">
        <v>77</v>
      </c>
      <c r="N88" t="s">
        <v>73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2"/>
  <sheetViews>
    <sheetView workbookViewId="0">
      <selection activeCell="L16" sqref="L16"/>
    </sheetView>
  </sheetViews>
  <sheetFormatPr defaultRowHeight="14.4" x14ac:dyDescent="0.25"/>
  <cols>
    <col min="2" max="2" width="13.5546875" customWidth="1"/>
  </cols>
  <sheetData>
    <row r="1" spans="1:7" x14ac:dyDescent="0.25">
      <c r="A1" s="3" t="s">
        <v>3</v>
      </c>
      <c r="B1" s="4" t="s">
        <v>168</v>
      </c>
    </row>
    <row r="2" spans="1:7" x14ac:dyDescent="0.25">
      <c r="A2">
        <v>1</v>
      </c>
      <c r="B2">
        <v>1140</v>
      </c>
    </row>
    <row r="3" spans="1:7" x14ac:dyDescent="0.25">
      <c r="A3">
        <v>2</v>
      </c>
      <c r="B3">
        <v>475</v>
      </c>
    </row>
    <row r="4" spans="1:7" x14ac:dyDescent="0.25">
      <c r="A4">
        <v>3</v>
      </c>
      <c r="B4">
        <v>740</v>
      </c>
    </row>
    <row r="5" spans="1:7" x14ac:dyDescent="0.25">
      <c r="A5">
        <v>4</v>
      </c>
      <c r="B5">
        <v>680</v>
      </c>
    </row>
    <row r="6" spans="1:7" ht="15.6" customHeight="1" x14ac:dyDescent="0.35">
      <c r="A6">
        <v>5</v>
      </c>
      <c r="B6">
        <v>395</v>
      </c>
      <c r="F6" s="5"/>
    </row>
    <row r="7" spans="1:7" x14ac:dyDescent="0.25">
      <c r="A7">
        <v>6</v>
      </c>
      <c r="B7">
        <v>3040</v>
      </c>
    </row>
    <row r="8" spans="1:7" ht="15.6" customHeight="1" x14ac:dyDescent="0.35">
      <c r="A8">
        <v>7</v>
      </c>
      <c r="B8">
        <v>2950</v>
      </c>
      <c r="G8" s="5"/>
    </row>
    <row r="9" spans="1:7" x14ac:dyDescent="0.25">
      <c r="A9">
        <v>8</v>
      </c>
      <c r="B9">
        <v>1160</v>
      </c>
    </row>
    <row r="10" spans="1:7" x14ac:dyDescent="0.25">
      <c r="A10">
        <v>9</v>
      </c>
      <c r="B10">
        <v>600</v>
      </c>
    </row>
    <row r="11" spans="1:7" x14ac:dyDescent="0.25">
      <c r="A11">
        <v>10</v>
      </c>
      <c r="B11">
        <v>500</v>
      </c>
    </row>
    <row r="12" spans="1:7" x14ac:dyDescent="0.25">
      <c r="A12">
        <v>11</v>
      </c>
      <c r="B12">
        <v>100</v>
      </c>
    </row>
    <row r="13" spans="1:7" x14ac:dyDescent="0.25">
      <c r="A13">
        <v>12</v>
      </c>
      <c r="B13">
        <v>2700</v>
      </c>
    </row>
    <row r="14" spans="1:7" x14ac:dyDescent="0.25">
      <c r="A14">
        <v>13</v>
      </c>
      <c r="B14">
        <v>2000</v>
      </c>
    </row>
    <row r="15" spans="1:7" x14ac:dyDescent="0.25">
      <c r="A15">
        <v>14</v>
      </c>
      <c r="B15">
        <v>400</v>
      </c>
    </row>
    <row r="16" spans="1:7" x14ac:dyDescent="0.25">
      <c r="A16">
        <v>15</v>
      </c>
      <c r="B16">
        <v>500</v>
      </c>
    </row>
    <row r="17" spans="1:2" x14ac:dyDescent="0.25">
      <c r="A17">
        <v>16</v>
      </c>
      <c r="B17">
        <v>1000</v>
      </c>
    </row>
    <row r="18" spans="1:2" x14ac:dyDescent="0.25">
      <c r="A18">
        <v>17</v>
      </c>
      <c r="B18">
        <v>13400</v>
      </c>
    </row>
    <row r="19" spans="1:2" x14ac:dyDescent="0.25">
      <c r="A19">
        <v>18</v>
      </c>
      <c r="B19">
        <v>6800</v>
      </c>
    </row>
    <row r="20" spans="1:2" x14ac:dyDescent="0.25">
      <c r="A20">
        <v>19</v>
      </c>
      <c r="B20">
        <v>10400</v>
      </c>
    </row>
    <row r="21" spans="1:2" x14ac:dyDescent="0.25">
      <c r="A21">
        <v>20</v>
      </c>
      <c r="B21">
        <v>2000</v>
      </c>
    </row>
    <row r="22" spans="1:2" x14ac:dyDescent="0.25">
      <c r="A22">
        <v>21</v>
      </c>
      <c r="B22">
        <v>8100</v>
      </c>
    </row>
    <row r="23" spans="1:2" x14ac:dyDescent="0.25">
      <c r="A23">
        <v>22</v>
      </c>
      <c r="B23">
        <v>21600</v>
      </c>
    </row>
    <row r="24" spans="1:2" x14ac:dyDescent="0.25">
      <c r="A24">
        <v>23</v>
      </c>
      <c r="B24">
        <v>3000</v>
      </c>
    </row>
    <row r="25" spans="1:2" x14ac:dyDescent="0.25">
      <c r="A25">
        <v>24</v>
      </c>
      <c r="B25">
        <v>5700</v>
      </c>
    </row>
    <row r="26" spans="1:2" x14ac:dyDescent="0.25">
      <c r="A26">
        <v>25</v>
      </c>
      <c r="B26">
        <v>7600</v>
      </c>
    </row>
    <row r="27" spans="1:2" x14ac:dyDescent="0.25">
      <c r="A27">
        <v>26</v>
      </c>
      <c r="B27">
        <v>8600</v>
      </c>
    </row>
    <row r="28" spans="1:2" x14ac:dyDescent="0.25">
      <c r="A28">
        <v>27</v>
      </c>
      <c r="B28">
        <v>10000</v>
      </c>
    </row>
    <row r="29" spans="1:2" x14ac:dyDescent="0.25">
      <c r="A29">
        <v>28</v>
      </c>
      <c r="B29">
        <v>10800</v>
      </c>
    </row>
    <row r="30" spans="1:2" x14ac:dyDescent="0.25">
      <c r="A30">
        <v>29</v>
      </c>
      <c r="B30">
        <v>28500</v>
      </c>
    </row>
    <row r="31" spans="1:2" x14ac:dyDescent="0.25">
      <c r="A31">
        <v>30</v>
      </c>
      <c r="B31">
        <v>9500</v>
      </c>
    </row>
    <row r="32" spans="1:2" x14ac:dyDescent="0.25">
      <c r="A32">
        <v>31</v>
      </c>
      <c r="B32">
        <v>2000</v>
      </c>
    </row>
    <row r="33" spans="1:2" x14ac:dyDescent="0.25">
      <c r="A33">
        <v>32</v>
      </c>
      <c r="B33">
        <v>11000</v>
      </c>
    </row>
    <row r="34" spans="1:2" x14ac:dyDescent="0.25">
      <c r="A34">
        <v>33</v>
      </c>
      <c r="B34">
        <v>5400</v>
      </c>
    </row>
    <row r="35" spans="1:2" x14ac:dyDescent="0.25">
      <c r="A35">
        <v>34</v>
      </c>
      <c r="B35">
        <v>6000</v>
      </c>
    </row>
    <row r="36" spans="1:2" x14ac:dyDescent="0.25">
      <c r="A36">
        <v>35</v>
      </c>
      <c r="B36">
        <v>15000</v>
      </c>
    </row>
    <row r="37" spans="1:2" x14ac:dyDescent="0.25">
      <c r="A37">
        <v>36</v>
      </c>
      <c r="B37">
        <v>8000</v>
      </c>
    </row>
    <row r="38" spans="1:2" x14ac:dyDescent="0.25">
      <c r="A38">
        <v>37</v>
      </c>
      <c r="B38">
        <v>3000</v>
      </c>
    </row>
    <row r="39" spans="1:2" x14ac:dyDescent="0.25">
      <c r="A39">
        <v>38</v>
      </c>
      <c r="B39">
        <v>15000</v>
      </c>
    </row>
    <row r="40" spans="1:2" x14ac:dyDescent="0.25">
      <c r="A40">
        <v>39</v>
      </c>
      <c r="B40">
        <v>12000</v>
      </c>
    </row>
    <row r="41" spans="1:2" x14ac:dyDescent="0.25">
      <c r="A41">
        <v>40</v>
      </c>
      <c r="B41">
        <v>30000</v>
      </c>
    </row>
    <row r="42" spans="1:2" x14ac:dyDescent="0.25">
      <c r="A42">
        <v>41</v>
      </c>
      <c r="B42">
        <v>7000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筛选结果（按照作物类型分类）</vt:lpstr>
      <vt:lpstr>2023销售结果</vt:lpstr>
      <vt:lpstr>销售结果分析</vt:lpstr>
      <vt:lpstr>亩产量汇总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禺琨 陈</cp:lastModifiedBy>
  <dcterms:created xsi:type="dcterms:W3CDTF">2024-09-05T13:00:17Z</dcterms:created>
  <dcterms:modified xsi:type="dcterms:W3CDTF">2024-09-08T06:03:17Z</dcterms:modified>
</cp:coreProperties>
</file>